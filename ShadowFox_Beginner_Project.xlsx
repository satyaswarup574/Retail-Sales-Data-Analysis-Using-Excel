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94e801ff9ea656/Desktop/ShadowFox Internship/"/>
    </mc:Choice>
  </mc:AlternateContent>
  <xr:revisionPtr revIDLastSave="23" documentId="8_{E0D5D416-EA65-4507-83A0-D6F02C831BD0}" xr6:coauthVersionLast="47" xr6:coauthVersionMax="47" xr10:uidLastSave="{D8A0AB61-8512-494C-9996-81D4FB23852F}"/>
  <bookViews>
    <workbookView xWindow="-108" yWindow="-108" windowWidth="23256" windowHeight="12456" activeTab="1" xr2:uid="{94CDE97C-55B5-421F-A481-B70496BF989D}"/>
  </bookViews>
  <sheets>
    <sheet name="Cleaned Data" sheetId="1" r:id="rId1"/>
    <sheet name="Dashboard" sheetId="3" r:id="rId2"/>
    <sheet name=" Analysis and Pivots" sheetId="2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J9" i="3"/>
  <c r="D9" i="3"/>
  <c r="J5" i="3"/>
  <c r="G5" i="3"/>
  <c r="D5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  <c r="H104857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<sst xmlns="http://schemas.openxmlformats.org/spreadsheetml/2006/main" count="219" uniqueCount="89">
  <si>
    <t>ORDER ID</t>
  </si>
  <si>
    <t>DATE</t>
  </si>
  <si>
    <t>PRODUCT</t>
  </si>
  <si>
    <t>CATEGORY</t>
  </si>
  <si>
    <t>REGION</t>
  </si>
  <si>
    <t>PROFIT</t>
  </si>
  <si>
    <t>LAPTOP</t>
  </si>
  <si>
    <t>KEYBOARD</t>
  </si>
  <si>
    <t>MOUSE</t>
  </si>
  <si>
    <t>BED</t>
  </si>
  <si>
    <t>SOFA</t>
  </si>
  <si>
    <t>POWER BANK</t>
  </si>
  <si>
    <t>PENDRIVE</t>
  </si>
  <si>
    <t>LAPTOP CHARGER</t>
  </si>
  <si>
    <t>PRINTER</t>
  </si>
  <si>
    <t>SCANNER</t>
  </si>
  <si>
    <t>OFFICE TABLE</t>
  </si>
  <si>
    <t>BOOKSHELF</t>
  </si>
  <si>
    <t>USB CABLE</t>
  </si>
  <si>
    <t>HDMI CABLE</t>
  </si>
  <si>
    <t>ELECTRONICS</t>
  </si>
  <si>
    <t>FURNITURE</t>
  </si>
  <si>
    <t>ACCESSORIES</t>
  </si>
  <si>
    <t>DESKTOP COMPUTER</t>
  </si>
  <si>
    <t>MONITOR</t>
  </si>
  <si>
    <t>TABLET</t>
  </si>
  <si>
    <t>SMARTPHONE</t>
  </si>
  <si>
    <t>SMARTWATCH</t>
  </si>
  <si>
    <t>TELEVISION</t>
  </si>
  <si>
    <t>REFRIGERETOR</t>
  </si>
  <si>
    <t>WASHING MACHINE</t>
  </si>
  <si>
    <t>MICROWAVE OVEN</t>
  </si>
  <si>
    <t>AIR CONDITIONER</t>
  </si>
  <si>
    <t>AIR COOLER</t>
  </si>
  <si>
    <t>SPEAKER</t>
  </si>
  <si>
    <t>HEADPHONES</t>
  </si>
  <si>
    <t>EARPHONES</t>
  </si>
  <si>
    <t>BLUETOOTH SPEAKER</t>
  </si>
  <si>
    <t>OFFICE CHAIR</t>
  </si>
  <si>
    <t>EXECUTIVE CHAIR</t>
  </si>
  <si>
    <t>COMPUTER CHAIR</t>
  </si>
  <si>
    <t>DINING TABLE</t>
  </si>
  <si>
    <t>STUDY TABLE</t>
  </si>
  <si>
    <t>COMPUTER TABLE</t>
  </si>
  <si>
    <t>WARDROBE</t>
  </si>
  <si>
    <t>COFFEE TABLE</t>
  </si>
  <si>
    <t xml:space="preserve">TV STAND </t>
  </si>
  <si>
    <t>CABINET</t>
  </si>
  <si>
    <t>DRAWER UNIT</t>
  </si>
  <si>
    <t>RECEPTION DESK</t>
  </si>
  <si>
    <t>CONFERENCE TABLE</t>
  </si>
  <si>
    <t>FILLING CABINET</t>
  </si>
  <si>
    <t>STOOL</t>
  </si>
  <si>
    <t>TYPE-C CABLE</t>
  </si>
  <si>
    <t>MOBILE CHARGER</t>
  </si>
  <si>
    <t>USB HUB</t>
  </si>
  <si>
    <t>MEMORY CARD</t>
  </si>
  <si>
    <t>LAPTOP BAG</t>
  </si>
  <si>
    <t>MOBILE COVER</t>
  </si>
  <si>
    <t>SCREEN PROTECTOR</t>
  </si>
  <si>
    <t>MOUSE PAD</t>
  </si>
  <si>
    <t>LAPTOP STAND</t>
  </si>
  <si>
    <t>WEBCAM</t>
  </si>
  <si>
    <t>COMPUTER SPEAKERS</t>
  </si>
  <si>
    <t>WIRELESS MOUSE</t>
  </si>
  <si>
    <t>WIRELESS KEYBOARD</t>
  </si>
  <si>
    <t>EXTENSION BOARD</t>
  </si>
  <si>
    <t>SURGE PROTECTOR</t>
  </si>
  <si>
    <t>EAST</t>
  </si>
  <si>
    <t>WEST</t>
  </si>
  <si>
    <t>NORTH</t>
  </si>
  <si>
    <t>SOUTH</t>
  </si>
  <si>
    <t xml:space="preserve">NORTH </t>
  </si>
  <si>
    <t>QUANTITY</t>
  </si>
  <si>
    <t>COST PRICE</t>
  </si>
  <si>
    <t>SALES PRICE</t>
  </si>
  <si>
    <t>COFEE TABLE</t>
  </si>
  <si>
    <t>TOTAL REVENUE</t>
  </si>
  <si>
    <t>TOTAL COST</t>
  </si>
  <si>
    <t>TOTAL PROFIT</t>
  </si>
  <si>
    <t>TOTAL ORDERS</t>
  </si>
  <si>
    <t>TOTAL QUANTITY SOLD</t>
  </si>
  <si>
    <t>OVERALL PROFIT MARGIN</t>
  </si>
  <si>
    <t>Row Labels</t>
  </si>
  <si>
    <t>Grand Total</t>
  </si>
  <si>
    <t>Sum of TOTAL REVENUE</t>
  </si>
  <si>
    <t>Sum of TOTAL PROFIT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</si>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</sst>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[ShadowFox_Beginner_Project.xlsx] Analysis and Pivots!PivotTable1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and Profit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Analysis and Pivots'!$B$1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Analysis and Pivots'!$A$2:$A$5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 Analysis and Pivots'!$B$2:$B$5</c:f>
              <c:numCache>
                <c:formatCode>"₹"\ #,##0.00</c:formatCode>
                <c:ptCount val="3"/>
                <c:pt idx="0">
                  <c:v>630700</c:v>
                </c:pt>
                <c:pt idx="1">
                  <c:v>7844200</c:v>
                </c:pt>
                <c:pt idx="2">
                  <c:v>1958000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4-4CF4-B4CC-C48A284BE364}"/>
            </c:ext>
          </c:extLst>
        </c:ser>
        <c:ser>
          <c:idx val="1"/>
          <c:order val="1"/>
          <c:tx>
            <c:strRef>
              <c:f>' Analysis and Pivots'!$C$1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Analysis and Pivots'!$A$2:$A$5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 Analysis and Pivots'!$C$2:$C$5</c:f>
              <c:numCache>
                <c:formatCode>"₹"\ #,##0.00</c:formatCode>
                <c:ptCount val="3"/>
                <c:pt idx="0">
                  <c:v>116250</c:v>
                </c:pt>
                <c:pt idx="1">
                  <c:v>3559900</c:v>
                </c:pt>
                <c:pt idx="2">
                  <c:v>420300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4-4CF4-B4CC-C48A284BE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156528"/>
        <c:axId val="730438192"/>
      </c:barChart>
      <c:catAx>
        <c:axId val="101815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38192"/>
        <c:crosses val="autoZero"/>
        <c:auto val="1"/>
        <c:lblAlgn val="ctr"/>
        <c:lblOffset val="100"/>
        <c:noMultiLvlLbl val="0"/>
      </c:catAx>
      <c:valAx>
        <c:axId val="7304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5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[ShadowFox_Beginner_Project.xlsx] Analysis and Pivots!PivotTable2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Distribution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 Analysis and Pivots'!$F$1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24-49AB-A489-E0AA6B13F5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24-49AB-A489-E0AA6B13F5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24-49AB-A489-E0AA6B13F5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24-49AB-A489-E0AA6B13F5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24-49AB-A489-E0AA6B13F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Analysis and Pivots'!$E$2:$E$7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NORTH 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 Analysis and Pivots'!$F$2:$F$7</c:f>
              <c:numCache>
                <c:formatCode>"₹"\ #,##0.00</c:formatCode>
                <c:ptCount val="5"/>
                <c:pt idx="0">
                  <c:v>1608900</c:v>
                </c:pt>
                <c:pt idx="1">
                  <c:v>1566400</c:v>
                </c:pt>
                <c:pt idx="2">
                  <c:v>490000</c:v>
                </c:pt>
                <c:pt idx="3">
                  <c:v>1968000</c:v>
                </c:pt>
                <c:pt idx="4">
                  <c:v>4799600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24-49AB-A489-E0AA6B13F5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[ShadowFox_Beginner_Project.xlsx] Analysis and 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&amp;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Analysis and Pivots'!$J$1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Analysis and Pivots'!$I$2:$I$4</c:f>
              <c:strCache>
                <c:ptCount val="2"/>
                <c:pt idx="0">
                  <c:v>Sep</c:v>
                </c:pt>
                <c:pt idx="1">
                  <c:v>Oct</c:v>
                </c:pt>
              </c:strCache>
            </c:strRef>
          </c:cat>
          <c:val>
            <c:numRef>
              <c:f>' Analysis and Pivots'!$J$2:$J$4</c:f>
              <c:numCache>
                <c:formatCode>"₹"\ #,##0.00</c:formatCode>
                <c:ptCount val="2"/>
                <c:pt idx="0">
                  <c:v>4533700</c:v>
                </c:pt>
                <c:pt idx="1">
                  <c:v>5899200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6-45E8-902A-9CA80D96D402}"/>
            </c:ext>
          </c:extLst>
        </c:ser>
        <c:ser>
          <c:idx val="1"/>
          <c:order val="1"/>
          <c:tx>
            <c:strRef>
              <c:f>' Analysis and Pivots'!$K$1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 Analysis and Pivots'!$I$2:$I$4</c:f>
              <c:strCache>
                <c:ptCount val="2"/>
                <c:pt idx="0">
                  <c:v>Sep</c:v>
                </c:pt>
                <c:pt idx="1">
                  <c:v>Oct</c:v>
                </c:pt>
              </c:strCache>
            </c:strRef>
          </c:cat>
          <c:val>
            <c:numRef>
              <c:f>' Analysis and Pivots'!$K$2:$K$4</c:f>
              <c:numCache>
                <c:formatCode>"₹"\ #,##0.00</c:formatCode>
                <c:ptCount val="2"/>
                <c:pt idx="0">
                  <c:v>857000</c:v>
                </c:pt>
                <c:pt idx="1">
                  <c:v>3239450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6-45E8-902A-9CA80D96D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118992"/>
        <c:axId val="730439152"/>
      </c:lineChart>
      <c:catAx>
        <c:axId val="11691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39152"/>
        <c:crosses val="autoZero"/>
        <c:auto val="1"/>
        <c:lblAlgn val="ctr"/>
        <c:lblOffset val="100"/>
        <c:noMultiLvlLbl val="0"/>
      </c:catAx>
      <c:valAx>
        <c:axId val="7304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18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169334</xdr:colOff>
      <xdr:row>12</xdr:row>
      <xdr:rowOff>93021</xdr:rowOff>
    </xdr:from>
    <xdr:to>
      <xdr:col>7</xdr:col>
      <xdr:colOff>920750</xdr:colOff>
      <xdr:row>33</xdr:row>
      <xdr:rowOff>137583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97AAA-CBAE-4F4C-88FE-0122FB838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565571</xdr:colOff>
      <xdr:row>20</xdr:row>
      <xdr:rowOff>43852</xdr:rowOff>
    </xdr:from>
    <xdr:to>
      <xdr:col>15</xdr:col>
      <xdr:colOff>560917</xdr:colOff>
      <xdr:row>37</xdr:row>
      <xdr:rowOff>42333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AB3AE4-EAA4-4464-85DB-5CE185249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550334</xdr:colOff>
      <xdr:row>0</xdr:row>
      <xdr:rowOff>61382</xdr:rowOff>
    </xdr:from>
    <xdr:to>
      <xdr:col>21</xdr:col>
      <xdr:colOff>211666</xdr:colOff>
      <xdr:row>18</xdr:row>
      <xdr:rowOff>116416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DD83C6-FA23-4143-8348-164B51071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 Swarup Sahoo" refreshedDate="46288.94427349537" createdVersion="8" refreshedVersion="8" minRefreshableVersion="3" recordCount="60" xr:uid="{ACFF56E5-6BC4-410F-9E79-756121B43F57}">
  <cacheSource type="worksheet">
    <worksheetSource ref="A1:L61" sheet="Cleaned Data"/>
  </cacheSource>
  <cacheFields count="14">
    <cacheField name="ORDER ID" numFmtId="0">
      <sharedItems containsSemiMixedTypes="0" containsString="0" containsNumber="1" containsInteger="1" minValue="1" maxValue="60"/>
    </cacheField>
    <cacheField name="DATE" numFmtId="14">
      <sharedItems containsSemiMixedTypes="0" containsNonDate="0" containsDate="1" containsString="0" minDate="2026-09-01T00:00:00" maxDate="2026-10-31T00:00:00" count="6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</sharedItems>
      <fieldGroup par="13"/>
    </cacheField>
    <cacheField name="PRODUCT" numFmtId="0">
      <sharedItems/>
    </cacheField>
    <cacheField name="CATEGORY" numFmtId="0">
      <sharedItems count="3">
        <s v="ELECTRONICS"/>
        <s v="FURNITURE"/>
        <s v="ACCESSORIES"/>
      </sharedItems>
    </cacheField>
    <cacheField name="REGION" numFmtId="0">
      <sharedItems count="5">
        <s v="EAST"/>
        <s v="WEST"/>
        <s v="NORTH"/>
        <s v="SOUTH"/>
        <s v="NORTH "/>
      </sharedItems>
    </cacheField>
    <cacheField name="QUANTITY" numFmtId="2">
      <sharedItems containsSemiMixedTypes="0" containsString="0" containsNumber="1" containsInteger="1" minValue="3" maxValue="19"/>
    </cacheField>
    <cacheField name="COST PRICE" numFmtId="164">
      <sharedItems containsSemiMixedTypes="0" containsString="0" containsNumber="1" containsInteger="1" minValue="250" maxValue="55000"/>
    </cacheField>
    <cacheField name="SALES PRICE" numFmtId="164">
      <sharedItems containsSemiMixedTypes="0" containsString="0" containsNumber="1" containsInteger="1" minValue="300" maxValue="250000"/>
    </cacheField>
    <cacheField name="PROFIT" numFmtId="164">
      <sharedItems containsSemiMixedTypes="0" containsString="0" containsNumber="1" containsInteger="1" minValue="50" maxValue="230000"/>
    </cacheField>
    <cacheField name="TOTAL REVENUE" numFmtId="164">
      <sharedItems containsSemiMixedTypes="0" containsString="0" containsNumber="1" containsInteger="1" minValue="1500" maxValue="3000000"/>
    </cacheField>
    <cacheField name="TOTAL COST" numFmtId="164">
      <sharedItems containsSemiMixedTypes="0" containsString="0" containsNumber="1" containsInteger="1" minValue="1250" maxValue="605000"/>
    </cacheField>
    <cacheField name="TOTAL PROFIT" numFmtId="164">
      <sharedItems containsSemiMixedTypes="0" containsString="0" containsNumber="1" containsInteger="1" minValue="250" maxValue="2760000"/>
    </cacheField>
    <cacheField name="Days (DATE)" numFmtId="0" databaseField="0">
      <fieldGroup base="1">
        <rangePr groupBy="days" startDate="2026-09-01T00:00:00" endDate="2026-10-31T00:00:00"/>
        <groupItems count="368">
          <s v="&lt;01-09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0-2026"/>
        </groupItems>
      </fieldGroup>
    </cacheField>
    <cacheField name="Months (DATE)" numFmtId="0" databaseField="0">
      <fieldGroup base="1">
        <rangePr groupBy="months" startDate="2026-09-01T00:00:00" endDate="2026-10-31T00:00:00"/>
        <groupItems count="14">
          <s v="&lt;01-09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x v="0"/>
    <s v="LAPTOP"/>
    <x v="0"/>
    <x v="0"/>
    <n v="5"/>
    <n v="44000"/>
    <n v="52000"/>
    <n v="8000"/>
    <n v="260000"/>
    <n v="220000"/>
    <n v="40000"/>
  </r>
  <r>
    <n v="2"/>
    <x v="1"/>
    <s v="KEYBOARD"/>
    <x v="0"/>
    <x v="1"/>
    <n v="7"/>
    <n v="1500"/>
    <n v="2200"/>
    <n v="700"/>
    <n v="15400"/>
    <n v="10500"/>
    <n v="4900"/>
  </r>
  <r>
    <n v="3"/>
    <x v="2"/>
    <s v="MOUSE"/>
    <x v="0"/>
    <x v="1"/>
    <n v="12"/>
    <n v="1200"/>
    <n v="2000"/>
    <n v="800"/>
    <n v="24000"/>
    <n v="14400"/>
    <n v="9600"/>
  </r>
  <r>
    <n v="4"/>
    <x v="3"/>
    <s v="BED"/>
    <x v="1"/>
    <x v="2"/>
    <n v="8"/>
    <n v="20000"/>
    <n v="25000"/>
    <n v="5000"/>
    <n v="200000"/>
    <n v="160000"/>
    <n v="40000"/>
  </r>
  <r>
    <n v="5"/>
    <x v="4"/>
    <s v="SOFA"/>
    <x v="1"/>
    <x v="3"/>
    <n v="15"/>
    <n v="25000"/>
    <n v="30000"/>
    <n v="5000"/>
    <n v="450000"/>
    <n v="375000"/>
    <n v="75000"/>
  </r>
  <r>
    <n v="6"/>
    <x v="5"/>
    <s v="OFFICE CHAIR"/>
    <x v="1"/>
    <x v="2"/>
    <n v="3"/>
    <n v="3000"/>
    <n v="3800"/>
    <n v="800"/>
    <n v="11400"/>
    <n v="9000"/>
    <n v="2400"/>
  </r>
  <r>
    <n v="7"/>
    <x v="6"/>
    <s v="POWER BANK"/>
    <x v="2"/>
    <x v="0"/>
    <n v="7"/>
    <n v="1800"/>
    <n v="2500"/>
    <n v="700"/>
    <n v="17500"/>
    <n v="12600"/>
    <n v="4900"/>
  </r>
  <r>
    <n v="8"/>
    <x v="7"/>
    <s v="PENDRIVE"/>
    <x v="2"/>
    <x v="0"/>
    <n v="9"/>
    <n v="1500"/>
    <n v="2300"/>
    <n v="800"/>
    <n v="20700"/>
    <n v="13500"/>
    <n v="7200"/>
  </r>
  <r>
    <n v="9"/>
    <x v="8"/>
    <s v="LAPTOP CHARGER"/>
    <x v="2"/>
    <x v="3"/>
    <n v="5"/>
    <n v="1200"/>
    <n v="2000"/>
    <n v="800"/>
    <n v="10000"/>
    <n v="6000"/>
    <n v="4000"/>
  </r>
  <r>
    <n v="10"/>
    <x v="9"/>
    <s v="PRINTER"/>
    <x v="0"/>
    <x v="4"/>
    <n v="14"/>
    <n v="25000"/>
    <n v="35000"/>
    <n v="10000"/>
    <n v="490000"/>
    <n v="350000"/>
    <n v="140000"/>
  </r>
  <r>
    <n v="11"/>
    <x v="10"/>
    <s v="SCANNER"/>
    <x v="0"/>
    <x v="0"/>
    <n v="6"/>
    <n v="28000"/>
    <n v="35000"/>
    <n v="7000"/>
    <n v="210000"/>
    <n v="168000"/>
    <n v="42000"/>
  </r>
  <r>
    <n v="12"/>
    <x v="11"/>
    <s v="OFFICE TABLE"/>
    <x v="1"/>
    <x v="1"/>
    <n v="12"/>
    <n v="4800"/>
    <n v="5500"/>
    <n v="700"/>
    <n v="66000"/>
    <n v="57600"/>
    <n v="8400"/>
  </r>
  <r>
    <n v="13"/>
    <x v="12"/>
    <s v="BOOKSHELF"/>
    <x v="1"/>
    <x v="3"/>
    <n v="18"/>
    <n v="1200"/>
    <n v="1800"/>
    <n v="600"/>
    <n v="32400"/>
    <n v="21600"/>
    <n v="10800"/>
  </r>
  <r>
    <n v="14"/>
    <x v="13"/>
    <s v="USB CABLE"/>
    <x v="2"/>
    <x v="3"/>
    <n v="9"/>
    <n v="1800"/>
    <n v="2200"/>
    <n v="400"/>
    <n v="19800"/>
    <n v="16200"/>
    <n v="3600"/>
  </r>
  <r>
    <n v="15"/>
    <x v="14"/>
    <s v="HDMI CABLE"/>
    <x v="2"/>
    <x v="0"/>
    <n v="7"/>
    <n v="1600"/>
    <n v="2000"/>
    <n v="400"/>
    <n v="14000"/>
    <n v="11200"/>
    <n v="2800"/>
  </r>
  <r>
    <n v="16"/>
    <x v="15"/>
    <s v="DESKTOP COMPUTER"/>
    <x v="0"/>
    <x v="2"/>
    <n v="11"/>
    <n v="55000"/>
    <n v="64000"/>
    <n v="9000"/>
    <n v="704000"/>
    <n v="605000"/>
    <n v="99000"/>
  </r>
  <r>
    <n v="17"/>
    <x v="16"/>
    <s v="MONITOR"/>
    <x v="0"/>
    <x v="1"/>
    <n v="4"/>
    <n v="48000"/>
    <n v="55000"/>
    <n v="7000"/>
    <n v="220000"/>
    <n v="192000"/>
    <n v="28000"/>
  </r>
  <r>
    <n v="18"/>
    <x v="17"/>
    <s v="TABLET"/>
    <x v="0"/>
    <x v="1"/>
    <n v="6"/>
    <n v="37000"/>
    <n v="42000"/>
    <n v="5000"/>
    <n v="252000"/>
    <n v="222000"/>
    <n v="30000"/>
  </r>
  <r>
    <n v="19"/>
    <x v="18"/>
    <s v="EXECUTIVE CHAIR"/>
    <x v="1"/>
    <x v="3"/>
    <n v="7"/>
    <n v="1200"/>
    <n v="1500"/>
    <n v="300"/>
    <n v="10500"/>
    <n v="8400"/>
    <n v="2100"/>
  </r>
  <r>
    <n v="20"/>
    <x v="19"/>
    <s v="COMPUTER CHAIR"/>
    <x v="1"/>
    <x v="0"/>
    <n v="15"/>
    <n v="1300"/>
    <n v="2000"/>
    <n v="700"/>
    <n v="30000"/>
    <n v="19500"/>
    <n v="10500"/>
  </r>
  <r>
    <n v="21"/>
    <x v="20"/>
    <s v="TYPE-C CABLE"/>
    <x v="2"/>
    <x v="1"/>
    <n v="10"/>
    <n v="1100"/>
    <n v="1600"/>
    <n v="500"/>
    <n v="16000"/>
    <n v="11000"/>
    <n v="5000"/>
  </r>
  <r>
    <n v="22"/>
    <x v="21"/>
    <s v="STOOL"/>
    <x v="1"/>
    <x v="1"/>
    <n v="8"/>
    <n v="2700"/>
    <n v="3400"/>
    <n v="700"/>
    <n v="27200"/>
    <n v="21600"/>
    <n v="5600"/>
  </r>
  <r>
    <n v="23"/>
    <x v="22"/>
    <s v="MOBILE CHARGER"/>
    <x v="2"/>
    <x v="2"/>
    <n v="19"/>
    <n v="1800"/>
    <n v="2200"/>
    <n v="400"/>
    <n v="41800"/>
    <n v="34200"/>
    <n v="7600"/>
  </r>
  <r>
    <n v="24"/>
    <x v="23"/>
    <s v="DINING TABLE"/>
    <x v="1"/>
    <x v="0"/>
    <n v="3"/>
    <n v="23000"/>
    <n v="30000"/>
    <n v="7000"/>
    <n v="90000"/>
    <n v="69000"/>
    <n v="21000"/>
  </r>
  <r>
    <n v="25"/>
    <x v="24"/>
    <s v="STUDY TABLE"/>
    <x v="1"/>
    <x v="2"/>
    <n v="5"/>
    <n v="8000"/>
    <n v="10000"/>
    <n v="2000"/>
    <n v="50000"/>
    <n v="40000"/>
    <n v="10000"/>
  </r>
  <r>
    <n v="26"/>
    <x v="25"/>
    <s v="USB HUB"/>
    <x v="2"/>
    <x v="0"/>
    <n v="9"/>
    <n v="15000"/>
    <n v="20000"/>
    <n v="5000"/>
    <n v="180000"/>
    <n v="135000"/>
    <n v="45000"/>
  </r>
  <r>
    <n v="27"/>
    <x v="26"/>
    <s v="SMARTPHONE"/>
    <x v="0"/>
    <x v="3"/>
    <n v="17"/>
    <n v="33000"/>
    <n v="40000"/>
    <n v="7000"/>
    <n v="680000"/>
    <n v="561000"/>
    <n v="119000"/>
  </r>
  <r>
    <n v="28"/>
    <x v="27"/>
    <s v="SMARTWATCH"/>
    <x v="0"/>
    <x v="1"/>
    <n v="13"/>
    <n v="15000"/>
    <n v="20000"/>
    <n v="5000"/>
    <n v="260000"/>
    <n v="195000"/>
    <n v="65000"/>
  </r>
  <r>
    <n v="29"/>
    <x v="28"/>
    <s v="FILLING CABINET"/>
    <x v="1"/>
    <x v="2"/>
    <n v="5"/>
    <n v="5000"/>
    <n v="7000"/>
    <n v="2000"/>
    <n v="35000"/>
    <n v="25000"/>
    <n v="10000"/>
  </r>
  <r>
    <n v="30"/>
    <x v="29"/>
    <s v="MEMORY CARD"/>
    <x v="2"/>
    <x v="2"/>
    <n v="12"/>
    <n v="7700"/>
    <n v="8000"/>
    <n v="300"/>
    <n v="96000"/>
    <n v="92400"/>
    <n v="3600"/>
  </r>
  <r>
    <n v="31"/>
    <x v="30"/>
    <s v="COMPUTER TABLE"/>
    <x v="1"/>
    <x v="3"/>
    <n v="7"/>
    <n v="12000"/>
    <n v="15000"/>
    <n v="3000"/>
    <n v="105000"/>
    <n v="84000"/>
    <n v="21000"/>
  </r>
  <r>
    <n v="32"/>
    <x v="31"/>
    <s v="LAPTOP BAG"/>
    <x v="2"/>
    <x v="3"/>
    <n v="6"/>
    <n v="4500"/>
    <n v="5000"/>
    <n v="500"/>
    <n v="30000"/>
    <n v="27000"/>
    <n v="3000"/>
  </r>
  <r>
    <n v="33"/>
    <x v="32"/>
    <s v="TELEVISION"/>
    <x v="0"/>
    <x v="1"/>
    <n v="7"/>
    <n v="38000"/>
    <n v="47000"/>
    <n v="9000"/>
    <n v="329000"/>
    <n v="266000"/>
    <n v="63000"/>
  </r>
  <r>
    <n v="34"/>
    <x v="33"/>
    <s v="REFRIGERETOR"/>
    <x v="0"/>
    <x v="0"/>
    <n v="17"/>
    <n v="24000"/>
    <n v="28000"/>
    <n v="4000"/>
    <n v="476000"/>
    <n v="408000"/>
    <n v="68000"/>
  </r>
  <r>
    <n v="35"/>
    <x v="34"/>
    <s v="MOBILE COVER"/>
    <x v="2"/>
    <x v="2"/>
    <n v="15"/>
    <n v="1100"/>
    <n v="1500"/>
    <n v="400"/>
    <n v="22500"/>
    <n v="16500"/>
    <n v="6000"/>
  </r>
  <r>
    <n v="36"/>
    <x v="35"/>
    <s v="SCREEN PROTECTOR"/>
    <x v="2"/>
    <x v="3"/>
    <n v="8"/>
    <n v="2800"/>
    <n v="3000"/>
    <n v="200"/>
    <n v="24000"/>
    <n v="22400"/>
    <n v="1600"/>
  </r>
  <r>
    <n v="37"/>
    <x v="36"/>
    <s v="WARDROBE"/>
    <x v="1"/>
    <x v="1"/>
    <n v="6"/>
    <n v="15000"/>
    <n v="20000"/>
    <n v="5000"/>
    <n v="120000"/>
    <n v="90000"/>
    <n v="30000"/>
  </r>
  <r>
    <n v="38"/>
    <x v="37"/>
    <s v="COFFEE TABLE"/>
    <x v="1"/>
    <x v="0"/>
    <n v="4"/>
    <n v="13000"/>
    <n v="18000"/>
    <n v="5000"/>
    <n v="72000"/>
    <n v="52000"/>
    <n v="20000"/>
  </r>
  <r>
    <n v="39"/>
    <x v="38"/>
    <s v="MOUSE PAD"/>
    <x v="2"/>
    <x v="3"/>
    <n v="6"/>
    <n v="1200"/>
    <n v="1500"/>
    <n v="300"/>
    <n v="9000"/>
    <n v="7200"/>
    <n v="1800"/>
  </r>
  <r>
    <n v="40"/>
    <x v="39"/>
    <s v="EARPHONES"/>
    <x v="0"/>
    <x v="2"/>
    <n v="8"/>
    <n v="1800"/>
    <n v="2200"/>
    <n v="400"/>
    <n v="17600"/>
    <n v="14400"/>
    <n v="3200"/>
  </r>
  <r>
    <n v="41"/>
    <x v="40"/>
    <s v="BLUETOOTH SPEAKER"/>
    <x v="0"/>
    <x v="2"/>
    <n v="5"/>
    <n v="2500"/>
    <n v="3000"/>
    <n v="500"/>
    <n v="15000"/>
    <n v="12500"/>
    <n v="2500"/>
  </r>
  <r>
    <n v="42"/>
    <x v="41"/>
    <s v="LAPTOP STAND"/>
    <x v="2"/>
    <x v="1"/>
    <n v="13"/>
    <n v="600"/>
    <n v="1000"/>
    <n v="400"/>
    <n v="13000"/>
    <n v="7800"/>
    <n v="5200"/>
  </r>
  <r>
    <n v="43"/>
    <x v="42"/>
    <s v="COFEE TABLE"/>
    <x v="1"/>
    <x v="0"/>
    <n v="17"/>
    <n v="5000"/>
    <n v="7000"/>
    <n v="2000"/>
    <n v="119000"/>
    <n v="85000"/>
    <n v="34000"/>
  </r>
  <r>
    <n v="44"/>
    <x v="43"/>
    <s v="TV STAND "/>
    <x v="1"/>
    <x v="0"/>
    <n v="6"/>
    <n v="6000"/>
    <n v="9000"/>
    <n v="3000"/>
    <n v="54000"/>
    <n v="36000"/>
    <n v="18000"/>
  </r>
  <r>
    <n v="45"/>
    <x v="44"/>
    <s v="WEBCAM"/>
    <x v="2"/>
    <x v="3"/>
    <n v="9"/>
    <n v="1500"/>
    <n v="2000"/>
    <n v="500"/>
    <n v="18000"/>
    <n v="13500"/>
    <n v="4500"/>
  </r>
  <r>
    <n v="46"/>
    <x v="45"/>
    <s v="WASHING MACHINE"/>
    <x v="0"/>
    <x v="1"/>
    <n v="12"/>
    <n v="20000"/>
    <n v="250000"/>
    <n v="230000"/>
    <n v="3000000"/>
    <n v="240000"/>
    <n v="2760000"/>
  </r>
  <r>
    <n v="47"/>
    <x v="46"/>
    <s v="CABINET"/>
    <x v="1"/>
    <x v="1"/>
    <n v="7"/>
    <n v="7000"/>
    <n v="9000"/>
    <n v="2000"/>
    <n v="63000"/>
    <n v="49000"/>
    <n v="14000"/>
  </r>
  <r>
    <n v="48"/>
    <x v="47"/>
    <s v="COMPUTER SPEAKERS"/>
    <x v="2"/>
    <x v="0"/>
    <n v="6"/>
    <n v="6300"/>
    <n v="6500"/>
    <n v="200"/>
    <n v="39000"/>
    <n v="37800"/>
    <n v="1200"/>
  </r>
  <r>
    <n v="49"/>
    <x v="48"/>
    <s v="MICROWAVE OVEN"/>
    <x v="0"/>
    <x v="3"/>
    <n v="14"/>
    <n v="8000"/>
    <n v="9000"/>
    <n v="1000"/>
    <n v="126000"/>
    <n v="112000"/>
    <n v="14000"/>
  </r>
  <r>
    <n v="50"/>
    <x v="49"/>
    <s v="WIRELESS MOUSE"/>
    <x v="2"/>
    <x v="3"/>
    <n v="11"/>
    <n v="1500"/>
    <n v="1800"/>
    <n v="300"/>
    <n v="19800"/>
    <n v="16500"/>
    <n v="3300"/>
  </r>
  <r>
    <n v="51"/>
    <x v="50"/>
    <s v="DRAWER UNIT"/>
    <x v="1"/>
    <x v="1"/>
    <n v="15"/>
    <n v="15000"/>
    <n v="20000"/>
    <n v="5000"/>
    <n v="300000"/>
    <n v="225000"/>
    <n v="75000"/>
  </r>
  <r>
    <n v="52"/>
    <x v="51"/>
    <s v="AIR CONDITIONER"/>
    <x v="0"/>
    <x v="2"/>
    <n v="7"/>
    <n v="32000"/>
    <n v="35000"/>
    <n v="3000"/>
    <n v="245000"/>
    <n v="224000"/>
    <n v="21000"/>
  </r>
  <r>
    <n v="53"/>
    <x v="52"/>
    <s v="AIR COOLER"/>
    <x v="0"/>
    <x v="2"/>
    <n v="6"/>
    <n v="17000"/>
    <n v="20000"/>
    <n v="3000"/>
    <n v="120000"/>
    <n v="102000"/>
    <n v="18000"/>
  </r>
  <r>
    <n v="54"/>
    <x v="53"/>
    <s v="SPEAKER"/>
    <x v="0"/>
    <x v="0"/>
    <n v="9"/>
    <n v="2500"/>
    <n v="2800"/>
    <n v="300"/>
    <n v="25200"/>
    <n v="22500"/>
    <n v="2700"/>
  </r>
  <r>
    <n v="55"/>
    <x v="54"/>
    <s v="WIRELESS KEYBOARD"/>
    <x v="2"/>
    <x v="1"/>
    <n v="10"/>
    <n v="2700"/>
    <n v="3000"/>
    <n v="300"/>
    <n v="30000"/>
    <n v="27000"/>
    <n v="3000"/>
  </r>
  <r>
    <n v="56"/>
    <x v="55"/>
    <s v="EXTENSION BOARD"/>
    <x v="2"/>
    <x v="0"/>
    <n v="5"/>
    <n v="250"/>
    <n v="300"/>
    <n v="50"/>
    <n v="1500"/>
    <n v="1250"/>
    <n v="250"/>
  </r>
  <r>
    <n v="57"/>
    <x v="56"/>
    <s v="RECEPTION DESK"/>
    <x v="1"/>
    <x v="1"/>
    <n v="8"/>
    <n v="7000"/>
    <n v="8000"/>
    <n v="1000"/>
    <n v="64000"/>
    <n v="56000"/>
    <n v="8000"/>
  </r>
  <r>
    <n v="58"/>
    <x v="57"/>
    <s v="CONFERENCE TABLE"/>
    <x v="1"/>
    <x v="3"/>
    <n v="3"/>
    <n v="18000"/>
    <n v="19500"/>
    <n v="1500"/>
    <n v="58500"/>
    <n v="54000"/>
    <n v="4500"/>
  </r>
  <r>
    <n v="59"/>
    <x v="58"/>
    <s v="SURGE PROTECTOR"/>
    <x v="2"/>
    <x v="2"/>
    <n v="18"/>
    <n v="300"/>
    <n v="450"/>
    <n v="150"/>
    <n v="8100"/>
    <n v="5400"/>
    <n v="2700"/>
  </r>
  <r>
    <n v="60"/>
    <x v="59"/>
    <s v="HEADPHONES"/>
    <x v="0"/>
    <x v="3"/>
    <n v="15"/>
    <n v="23000"/>
    <n v="25000"/>
    <n v="2000"/>
    <n v="375000"/>
    <n v="345000"/>
    <n v="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1D16E-C4CC-47A2-9B6D-1E7360C6619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:K4" firstHeaderRow="0" firstDataRow="1" firstDataCol="1"/>
  <pivotFields count="14">
    <pivotField showAll="0"/>
    <pivotField axis="axisRow"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numFmtId="2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"/>
  </rowFields>
  <rowItems count="3"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9" baseField="0" baseItem="0" numFmtId="164"/>
    <dataField name="Sum of TOTAL PROFIT" fld="11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CF4D3-734F-4C2F-AE1E-2A49FECBCC7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:F7" firstHeaderRow="1" firstDataRow="1" firstDataCol="1"/>
  <pivotFields count="14">
    <pivotField showAll="0"/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numFmtId="2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9" baseField="0" baseItem="0" numFmtId="164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9E972-F580-4319-9EBA-5BABA8C4BF6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C5" firstHeaderRow="0" firstDataRow="1" firstDataCol="1"/>
  <pivotFields count="14">
    <pivotField showAll="0"/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2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9" baseField="0" baseItem="0" numFmtId="164"/>
    <dataField name="Sum of TOTAL PROFIT" fld="11" baseField="0" baseItem="0" numFmtId="164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8993-68EE-472D-8BDB-29E92C8A4401}">
  <dimension ref="A1:L1048576"/>
  <sheetViews>
    <sheetView zoomScale="70" zoomScaleNormal="70" workbookViewId="0">
      <selection activeCell="J8" sqref="A1:L61"/>
    </sheetView>
  </sheetViews>
  <sheetFormatPr defaultRowHeight="14.4" x14ac:dyDescent="0.3"/>
  <cols>
    <col min="1" max="1" width="8.88671875" style="1"/>
    <col min="2" max="2" width="13.5546875" style="7" customWidth="1"/>
    <col min="3" max="3" width="19.5546875" style="1" customWidth="1"/>
    <col min="4" max="4" width="13" style="1" customWidth="1"/>
    <col min="5" max="5" width="11.5546875" style="1" customWidth="1"/>
    <col min="6" max="6" width="11.5546875" style="10" customWidth="1"/>
    <col min="7" max="8" width="16.6640625" style="13" customWidth="1"/>
    <col min="9" max="9" width="13.109375" style="13" customWidth="1"/>
    <col min="10" max="10" width="16.44140625" style="1" customWidth="1"/>
    <col min="11" max="11" width="15.5546875" style="1" customWidth="1"/>
    <col min="12" max="12" width="13.6640625" style="1" customWidth="1"/>
    <col min="13" max="16384" width="8.88671875" style="1"/>
  </cols>
  <sheetData>
    <row r="1" spans="1:12" s="5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8" t="s">
        <v>73</v>
      </c>
      <c r="G1" s="11" t="s">
        <v>74</v>
      </c>
      <c r="H1" s="11" t="s">
        <v>75</v>
      </c>
      <c r="I1" s="11" t="s">
        <v>5</v>
      </c>
      <c r="J1" s="2" t="s">
        <v>77</v>
      </c>
      <c r="K1" s="2" t="s">
        <v>78</v>
      </c>
      <c r="L1" s="2" t="s">
        <v>79</v>
      </c>
    </row>
    <row r="2" spans="1:12" x14ac:dyDescent="0.3">
      <c r="A2" s="3" cm="1">
        <f t="array" ref="A2:A61">_xlfn.SEQUENCE(60)</f>
        <v>1</v>
      </c>
      <c r="B2" s="4">
        <v>46266</v>
      </c>
      <c r="C2" s="3" t="s">
        <v>6</v>
      </c>
      <c r="D2" s="3" t="s">
        <v>20</v>
      </c>
      <c r="E2" s="3" t="s">
        <v>68</v>
      </c>
      <c r="F2" s="9">
        <v>5</v>
      </c>
      <c r="G2" s="12">
        <v>44000</v>
      </c>
      <c r="H2" s="12">
        <v>52000</v>
      </c>
      <c r="I2" s="12">
        <f>(H2-G2 )</f>
        <v>8000</v>
      </c>
      <c r="J2" s="12">
        <f>F2*H2</f>
        <v>260000</v>
      </c>
      <c r="K2" s="12">
        <f>F2*G2</f>
        <v>220000</v>
      </c>
      <c r="L2" s="12">
        <f>F2*I2</f>
        <v>40000</v>
      </c>
    </row>
    <row r="3" spans="1:12" x14ac:dyDescent="0.3">
      <c r="A3" s="3">
        <v>2</v>
      </c>
      <c r="B3" s="4">
        <v>46267</v>
      </c>
      <c r="C3" s="3" t="s">
        <v>7</v>
      </c>
      <c r="D3" s="3" t="s">
        <v>20</v>
      </c>
      <c r="E3" s="3" t="s">
        <v>69</v>
      </c>
      <c r="F3" s="9">
        <v>7</v>
      </c>
      <c r="G3" s="12">
        <v>1500</v>
      </c>
      <c r="H3" s="12">
        <v>2200</v>
      </c>
      <c r="I3" s="12">
        <f t="shared" ref="I3:I61" si="0">(H3-G3 )</f>
        <v>700</v>
      </c>
      <c r="J3" s="12">
        <f t="shared" ref="J3:J61" si="1">F3*H3</f>
        <v>15400</v>
      </c>
      <c r="K3" s="12">
        <f t="shared" ref="K3:K61" si="2">F3*G3</f>
        <v>10500</v>
      </c>
      <c r="L3" s="12">
        <f t="shared" ref="L3:L61" si="3">F3*I3</f>
        <v>4900</v>
      </c>
    </row>
    <row r="4" spans="1:12" x14ac:dyDescent="0.3">
      <c r="A4" s="3">
        <v>3</v>
      </c>
      <c r="B4" s="4">
        <v>46268</v>
      </c>
      <c r="C4" s="3" t="s">
        <v>8</v>
      </c>
      <c r="D4" s="3" t="s">
        <v>20</v>
      </c>
      <c r="E4" s="3" t="s">
        <v>69</v>
      </c>
      <c r="F4" s="9">
        <v>12</v>
      </c>
      <c r="G4" s="12">
        <v>1200</v>
      </c>
      <c r="H4" s="12">
        <v>2000</v>
      </c>
      <c r="I4" s="12">
        <f t="shared" si="0"/>
        <v>800</v>
      </c>
      <c r="J4" s="12">
        <f t="shared" si="1"/>
        <v>24000</v>
      </c>
      <c r="K4" s="12">
        <f t="shared" si="2"/>
        <v>14400</v>
      </c>
      <c r="L4" s="12">
        <f t="shared" si="3"/>
        <v>9600</v>
      </c>
    </row>
    <row r="5" spans="1:12" x14ac:dyDescent="0.3">
      <c r="A5" s="3">
        <v>4</v>
      </c>
      <c r="B5" s="4">
        <v>46269</v>
      </c>
      <c r="C5" s="3" t="s">
        <v>9</v>
      </c>
      <c r="D5" s="3" t="s">
        <v>21</v>
      </c>
      <c r="E5" s="3" t="s">
        <v>70</v>
      </c>
      <c r="F5" s="9">
        <v>8</v>
      </c>
      <c r="G5" s="12">
        <v>20000</v>
      </c>
      <c r="H5" s="12">
        <v>25000</v>
      </c>
      <c r="I5" s="12">
        <f t="shared" si="0"/>
        <v>5000</v>
      </c>
      <c r="J5" s="12">
        <f t="shared" si="1"/>
        <v>200000</v>
      </c>
      <c r="K5" s="12">
        <f t="shared" si="2"/>
        <v>160000</v>
      </c>
      <c r="L5" s="12">
        <f t="shared" si="3"/>
        <v>40000</v>
      </c>
    </row>
    <row r="6" spans="1:12" x14ac:dyDescent="0.3">
      <c r="A6" s="3">
        <v>5</v>
      </c>
      <c r="B6" s="4">
        <v>46270</v>
      </c>
      <c r="C6" s="3" t="s">
        <v>10</v>
      </c>
      <c r="D6" s="3" t="s">
        <v>21</v>
      </c>
      <c r="E6" s="3" t="s">
        <v>71</v>
      </c>
      <c r="F6" s="9">
        <v>15</v>
      </c>
      <c r="G6" s="12">
        <v>25000</v>
      </c>
      <c r="H6" s="12">
        <v>30000</v>
      </c>
      <c r="I6" s="12">
        <f t="shared" si="0"/>
        <v>5000</v>
      </c>
      <c r="J6" s="12">
        <f t="shared" si="1"/>
        <v>450000</v>
      </c>
      <c r="K6" s="12">
        <f t="shared" si="2"/>
        <v>375000</v>
      </c>
      <c r="L6" s="12">
        <f t="shared" si="3"/>
        <v>75000</v>
      </c>
    </row>
    <row r="7" spans="1:12" x14ac:dyDescent="0.3">
      <c r="A7" s="3">
        <v>6</v>
      </c>
      <c r="B7" s="4">
        <v>46271</v>
      </c>
      <c r="C7" s="3" t="s">
        <v>38</v>
      </c>
      <c r="D7" s="3" t="s">
        <v>21</v>
      </c>
      <c r="E7" s="3" t="s">
        <v>70</v>
      </c>
      <c r="F7" s="9">
        <v>3</v>
      </c>
      <c r="G7" s="12">
        <v>3000</v>
      </c>
      <c r="H7" s="12">
        <v>3800</v>
      </c>
      <c r="I7" s="12">
        <f t="shared" si="0"/>
        <v>800</v>
      </c>
      <c r="J7" s="12">
        <f t="shared" si="1"/>
        <v>11400</v>
      </c>
      <c r="K7" s="12">
        <f t="shared" si="2"/>
        <v>9000</v>
      </c>
      <c r="L7" s="12">
        <f t="shared" si="3"/>
        <v>2400</v>
      </c>
    </row>
    <row r="8" spans="1:12" x14ac:dyDescent="0.3">
      <c r="A8" s="3">
        <v>7</v>
      </c>
      <c r="B8" s="4">
        <v>46272</v>
      </c>
      <c r="C8" s="3" t="s">
        <v>11</v>
      </c>
      <c r="D8" s="3" t="s">
        <v>22</v>
      </c>
      <c r="E8" s="3" t="s">
        <v>68</v>
      </c>
      <c r="F8" s="9">
        <v>7</v>
      </c>
      <c r="G8" s="12">
        <v>1800</v>
      </c>
      <c r="H8" s="12">
        <v>2500</v>
      </c>
      <c r="I8" s="12">
        <f t="shared" si="0"/>
        <v>700</v>
      </c>
      <c r="J8" s="12">
        <f t="shared" si="1"/>
        <v>17500</v>
      </c>
      <c r="K8" s="12">
        <f t="shared" si="2"/>
        <v>12600</v>
      </c>
      <c r="L8" s="12">
        <f t="shared" si="3"/>
        <v>4900</v>
      </c>
    </row>
    <row r="9" spans="1:12" x14ac:dyDescent="0.3">
      <c r="A9" s="3">
        <v>8</v>
      </c>
      <c r="B9" s="4">
        <v>46273</v>
      </c>
      <c r="C9" s="3" t="s">
        <v>12</v>
      </c>
      <c r="D9" s="3" t="s">
        <v>22</v>
      </c>
      <c r="E9" s="3" t="s">
        <v>68</v>
      </c>
      <c r="F9" s="9">
        <v>9</v>
      </c>
      <c r="G9" s="12">
        <v>1500</v>
      </c>
      <c r="H9" s="12">
        <v>2300</v>
      </c>
      <c r="I9" s="12">
        <f t="shared" si="0"/>
        <v>800</v>
      </c>
      <c r="J9" s="12">
        <f t="shared" si="1"/>
        <v>20700</v>
      </c>
      <c r="K9" s="12">
        <f t="shared" si="2"/>
        <v>13500</v>
      </c>
      <c r="L9" s="12">
        <f t="shared" si="3"/>
        <v>7200</v>
      </c>
    </row>
    <row r="10" spans="1:12" x14ac:dyDescent="0.3">
      <c r="A10" s="3">
        <v>9</v>
      </c>
      <c r="B10" s="4">
        <v>46274</v>
      </c>
      <c r="C10" s="3" t="s">
        <v>13</v>
      </c>
      <c r="D10" s="3" t="s">
        <v>22</v>
      </c>
      <c r="E10" s="3" t="s">
        <v>71</v>
      </c>
      <c r="F10" s="9">
        <v>5</v>
      </c>
      <c r="G10" s="12">
        <v>1200</v>
      </c>
      <c r="H10" s="12">
        <v>2000</v>
      </c>
      <c r="I10" s="12">
        <f t="shared" si="0"/>
        <v>800</v>
      </c>
      <c r="J10" s="12">
        <f t="shared" si="1"/>
        <v>10000</v>
      </c>
      <c r="K10" s="12">
        <f t="shared" si="2"/>
        <v>6000</v>
      </c>
      <c r="L10" s="12">
        <f t="shared" si="3"/>
        <v>4000</v>
      </c>
    </row>
    <row r="11" spans="1:12" x14ac:dyDescent="0.3">
      <c r="A11" s="3">
        <v>10</v>
      </c>
      <c r="B11" s="4">
        <v>46275</v>
      </c>
      <c r="C11" s="3" t="s">
        <v>14</v>
      </c>
      <c r="D11" s="3" t="s">
        <v>20</v>
      </c>
      <c r="E11" s="3" t="s">
        <v>72</v>
      </c>
      <c r="F11" s="9">
        <v>14</v>
      </c>
      <c r="G11" s="12">
        <v>25000</v>
      </c>
      <c r="H11" s="12">
        <v>35000</v>
      </c>
      <c r="I11" s="12">
        <f t="shared" si="0"/>
        <v>10000</v>
      </c>
      <c r="J11" s="12">
        <f t="shared" si="1"/>
        <v>490000</v>
      </c>
      <c r="K11" s="12">
        <f t="shared" si="2"/>
        <v>350000</v>
      </c>
      <c r="L11" s="12">
        <f t="shared" si="3"/>
        <v>140000</v>
      </c>
    </row>
    <row r="12" spans="1:12" x14ac:dyDescent="0.3">
      <c r="A12" s="3">
        <v>11</v>
      </c>
      <c r="B12" s="4">
        <v>46276</v>
      </c>
      <c r="C12" s="3" t="s">
        <v>15</v>
      </c>
      <c r="D12" s="3" t="s">
        <v>20</v>
      </c>
      <c r="E12" s="3" t="s">
        <v>68</v>
      </c>
      <c r="F12" s="9">
        <v>6</v>
      </c>
      <c r="G12" s="12">
        <v>28000</v>
      </c>
      <c r="H12" s="12">
        <v>35000</v>
      </c>
      <c r="I12" s="12">
        <f t="shared" si="0"/>
        <v>7000</v>
      </c>
      <c r="J12" s="12">
        <f t="shared" si="1"/>
        <v>210000</v>
      </c>
      <c r="K12" s="12">
        <f t="shared" si="2"/>
        <v>168000</v>
      </c>
      <c r="L12" s="12">
        <f t="shared" si="3"/>
        <v>42000</v>
      </c>
    </row>
    <row r="13" spans="1:12" x14ac:dyDescent="0.3">
      <c r="A13" s="3">
        <v>12</v>
      </c>
      <c r="B13" s="4">
        <v>46277</v>
      </c>
      <c r="C13" s="3" t="s">
        <v>16</v>
      </c>
      <c r="D13" s="3" t="s">
        <v>21</v>
      </c>
      <c r="E13" s="3" t="s">
        <v>69</v>
      </c>
      <c r="F13" s="9">
        <v>12</v>
      </c>
      <c r="G13" s="12">
        <v>4800</v>
      </c>
      <c r="H13" s="12">
        <v>5500</v>
      </c>
      <c r="I13" s="12">
        <f t="shared" si="0"/>
        <v>700</v>
      </c>
      <c r="J13" s="12">
        <f t="shared" si="1"/>
        <v>66000</v>
      </c>
      <c r="K13" s="12">
        <f t="shared" si="2"/>
        <v>57600</v>
      </c>
      <c r="L13" s="12">
        <f t="shared" si="3"/>
        <v>8400</v>
      </c>
    </row>
    <row r="14" spans="1:12" x14ac:dyDescent="0.3">
      <c r="A14" s="3">
        <v>13</v>
      </c>
      <c r="B14" s="4">
        <v>46278</v>
      </c>
      <c r="C14" s="3" t="s">
        <v>17</v>
      </c>
      <c r="D14" s="3" t="s">
        <v>21</v>
      </c>
      <c r="E14" s="3" t="s">
        <v>71</v>
      </c>
      <c r="F14" s="9">
        <v>18</v>
      </c>
      <c r="G14" s="12">
        <v>1200</v>
      </c>
      <c r="H14" s="12">
        <v>1800</v>
      </c>
      <c r="I14" s="12">
        <f t="shared" si="0"/>
        <v>600</v>
      </c>
      <c r="J14" s="12">
        <f t="shared" si="1"/>
        <v>32400</v>
      </c>
      <c r="K14" s="12">
        <f t="shared" si="2"/>
        <v>21600</v>
      </c>
      <c r="L14" s="12">
        <f t="shared" si="3"/>
        <v>10800</v>
      </c>
    </row>
    <row r="15" spans="1:12" x14ac:dyDescent="0.3">
      <c r="A15" s="3">
        <v>14</v>
      </c>
      <c r="B15" s="4">
        <v>46279</v>
      </c>
      <c r="C15" s="3" t="s">
        <v>18</v>
      </c>
      <c r="D15" s="3" t="s">
        <v>22</v>
      </c>
      <c r="E15" s="3" t="s">
        <v>71</v>
      </c>
      <c r="F15" s="9">
        <v>9</v>
      </c>
      <c r="G15" s="12">
        <v>1800</v>
      </c>
      <c r="H15" s="12">
        <v>2200</v>
      </c>
      <c r="I15" s="12">
        <f t="shared" si="0"/>
        <v>400</v>
      </c>
      <c r="J15" s="12">
        <f t="shared" si="1"/>
        <v>19800</v>
      </c>
      <c r="K15" s="12">
        <f t="shared" si="2"/>
        <v>16200</v>
      </c>
      <c r="L15" s="12">
        <f t="shared" si="3"/>
        <v>3600</v>
      </c>
    </row>
    <row r="16" spans="1:12" x14ac:dyDescent="0.3">
      <c r="A16" s="3">
        <v>15</v>
      </c>
      <c r="B16" s="4">
        <v>46280</v>
      </c>
      <c r="C16" s="3" t="s">
        <v>19</v>
      </c>
      <c r="D16" s="3" t="s">
        <v>22</v>
      </c>
      <c r="E16" s="3" t="s">
        <v>68</v>
      </c>
      <c r="F16" s="9">
        <v>7</v>
      </c>
      <c r="G16" s="12">
        <v>1600</v>
      </c>
      <c r="H16" s="12">
        <v>2000</v>
      </c>
      <c r="I16" s="12">
        <f t="shared" si="0"/>
        <v>400</v>
      </c>
      <c r="J16" s="12">
        <f t="shared" si="1"/>
        <v>14000</v>
      </c>
      <c r="K16" s="12">
        <f t="shared" si="2"/>
        <v>11200</v>
      </c>
      <c r="L16" s="12">
        <f t="shared" si="3"/>
        <v>2800</v>
      </c>
    </row>
    <row r="17" spans="1:12" x14ac:dyDescent="0.3">
      <c r="A17" s="3">
        <v>16</v>
      </c>
      <c r="B17" s="4">
        <v>46281</v>
      </c>
      <c r="C17" s="3" t="s">
        <v>23</v>
      </c>
      <c r="D17" s="3" t="s">
        <v>20</v>
      </c>
      <c r="E17" s="3" t="s">
        <v>70</v>
      </c>
      <c r="F17" s="9">
        <v>11</v>
      </c>
      <c r="G17" s="12">
        <v>55000</v>
      </c>
      <c r="H17" s="12">
        <v>64000</v>
      </c>
      <c r="I17" s="12">
        <f t="shared" si="0"/>
        <v>9000</v>
      </c>
      <c r="J17" s="12">
        <f t="shared" si="1"/>
        <v>704000</v>
      </c>
      <c r="K17" s="12">
        <f t="shared" si="2"/>
        <v>605000</v>
      </c>
      <c r="L17" s="12">
        <f t="shared" si="3"/>
        <v>99000</v>
      </c>
    </row>
    <row r="18" spans="1:12" x14ac:dyDescent="0.3">
      <c r="A18" s="3">
        <v>17</v>
      </c>
      <c r="B18" s="4">
        <v>46282</v>
      </c>
      <c r="C18" s="3" t="s">
        <v>24</v>
      </c>
      <c r="D18" s="3" t="s">
        <v>20</v>
      </c>
      <c r="E18" s="3" t="s">
        <v>69</v>
      </c>
      <c r="F18" s="9">
        <v>4</v>
      </c>
      <c r="G18" s="12">
        <v>48000</v>
      </c>
      <c r="H18" s="12">
        <v>55000</v>
      </c>
      <c r="I18" s="12">
        <f t="shared" si="0"/>
        <v>7000</v>
      </c>
      <c r="J18" s="12">
        <f t="shared" si="1"/>
        <v>220000</v>
      </c>
      <c r="K18" s="12">
        <f t="shared" si="2"/>
        <v>192000</v>
      </c>
      <c r="L18" s="12">
        <f t="shared" si="3"/>
        <v>28000</v>
      </c>
    </row>
    <row r="19" spans="1:12" x14ac:dyDescent="0.3">
      <c r="A19" s="3">
        <v>18</v>
      </c>
      <c r="B19" s="4">
        <v>46283</v>
      </c>
      <c r="C19" s="3" t="s">
        <v>25</v>
      </c>
      <c r="D19" s="3" t="s">
        <v>20</v>
      </c>
      <c r="E19" s="3" t="s">
        <v>69</v>
      </c>
      <c r="F19" s="9">
        <v>6</v>
      </c>
      <c r="G19" s="12">
        <v>37000</v>
      </c>
      <c r="H19" s="12">
        <v>42000</v>
      </c>
      <c r="I19" s="12">
        <f t="shared" si="0"/>
        <v>5000</v>
      </c>
      <c r="J19" s="12">
        <f t="shared" si="1"/>
        <v>252000</v>
      </c>
      <c r="K19" s="12">
        <f t="shared" si="2"/>
        <v>222000</v>
      </c>
      <c r="L19" s="12">
        <f t="shared" si="3"/>
        <v>30000</v>
      </c>
    </row>
    <row r="20" spans="1:12" x14ac:dyDescent="0.3">
      <c r="A20" s="3">
        <v>19</v>
      </c>
      <c r="B20" s="4">
        <v>46284</v>
      </c>
      <c r="C20" s="3" t="s">
        <v>39</v>
      </c>
      <c r="D20" s="3" t="s">
        <v>21</v>
      </c>
      <c r="E20" s="3" t="s">
        <v>71</v>
      </c>
      <c r="F20" s="9">
        <v>7</v>
      </c>
      <c r="G20" s="12">
        <v>1200</v>
      </c>
      <c r="H20" s="12">
        <v>1500</v>
      </c>
      <c r="I20" s="12">
        <f t="shared" si="0"/>
        <v>300</v>
      </c>
      <c r="J20" s="12">
        <f t="shared" si="1"/>
        <v>10500</v>
      </c>
      <c r="K20" s="12">
        <f t="shared" si="2"/>
        <v>8400</v>
      </c>
      <c r="L20" s="12">
        <f t="shared" si="3"/>
        <v>2100</v>
      </c>
    </row>
    <row r="21" spans="1:12" x14ac:dyDescent="0.3">
      <c r="A21" s="3">
        <v>20</v>
      </c>
      <c r="B21" s="4">
        <v>46285</v>
      </c>
      <c r="C21" s="3" t="s">
        <v>40</v>
      </c>
      <c r="D21" s="3" t="s">
        <v>21</v>
      </c>
      <c r="E21" s="3" t="s">
        <v>68</v>
      </c>
      <c r="F21" s="9">
        <v>15</v>
      </c>
      <c r="G21" s="12">
        <v>1300</v>
      </c>
      <c r="H21" s="12">
        <v>2000</v>
      </c>
      <c r="I21" s="12">
        <f t="shared" si="0"/>
        <v>700</v>
      </c>
      <c r="J21" s="12">
        <f t="shared" si="1"/>
        <v>30000</v>
      </c>
      <c r="K21" s="12">
        <f t="shared" si="2"/>
        <v>19500</v>
      </c>
      <c r="L21" s="12">
        <f t="shared" si="3"/>
        <v>10500</v>
      </c>
    </row>
    <row r="22" spans="1:12" x14ac:dyDescent="0.3">
      <c r="A22" s="3">
        <v>21</v>
      </c>
      <c r="B22" s="4">
        <v>46286</v>
      </c>
      <c r="C22" s="3" t="s">
        <v>53</v>
      </c>
      <c r="D22" s="3" t="s">
        <v>22</v>
      </c>
      <c r="E22" s="3" t="s">
        <v>69</v>
      </c>
      <c r="F22" s="9">
        <v>10</v>
      </c>
      <c r="G22" s="12">
        <v>1100</v>
      </c>
      <c r="H22" s="12">
        <v>1600</v>
      </c>
      <c r="I22" s="12">
        <f t="shared" si="0"/>
        <v>500</v>
      </c>
      <c r="J22" s="12">
        <f t="shared" si="1"/>
        <v>16000</v>
      </c>
      <c r="K22" s="12">
        <f t="shared" si="2"/>
        <v>11000</v>
      </c>
      <c r="L22" s="12">
        <f t="shared" si="3"/>
        <v>5000</v>
      </c>
    </row>
    <row r="23" spans="1:12" x14ac:dyDescent="0.3">
      <c r="A23" s="3">
        <v>22</v>
      </c>
      <c r="B23" s="4">
        <v>46287</v>
      </c>
      <c r="C23" s="3" t="s">
        <v>52</v>
      </c>
      <c r="D23" s="3" t="s">
        <v>21</v>
      </c>
      <c r="E23" s="3" t="s">
        <v>69</v>
      </c>
      <c r="F23" s="9">
        <v>8</v>
      </c>
      <c r="G23" s="12">
        <v>2700</v>
      </c>
      <c r="H23" s="12">
        <v>3400</v>
      </c>
      <c r="I23" s="12">
        <f t="shared" si="0"/>
        <v>700</v>
      </c>
      <c r="J23" s="12">
        <f t="shared" si="1"/>
        <v>27200</v>
      </c>
      <c r="K23" s="12">
        <f t="shared" si="2"/>
        <v>21600</v>
      </c>
      <c r="L23" s="12">
        <f t="shared" si="3"/>
        <v>5600</v>
      </c>
    </row>
    <row r="24" spans="1:12" x14ac:dyDescent="0.3">
      <c r="A24" s="3">
        <v>23</v>
      </c>
      <c r="B24" s="4">
        <v>46288</v>
      </c>
      <c r="C24" s="3" t="s">
        <v>54</v>
      </c>
      <c r="D24" s="3" t="s">
        <v>22</v>
      </c>
      <c r="E24" s="3" t="s">
        <v>70</v>
      </c>
      <c r="F24" s="9">
        <v>19</v>
      </c>
      <c r="G24" s="12">
        <v>1800</v>
      </c>
      <c r="H24" s="12">
        <v>2200</v>
      </c>
      <c r="I24" s="12">
        <f t="shared" si="0"/>
        <v>400</v>
      </c>
      <c r="J24" s="12">
        <f t="shared" si="1"/>
        <v>41800</v>
      </c>
      <c r="K24" s="12">
        <f t="shared" si="2"/>
        <v>34200</v>
      </c>
      <c r="L24" s="12">
        <f t="shared" si="3"/>
        <v>7600</v>
      </c>
    </row>
    <row r="25" spans="1:12" x14ac:dyDescent="0.3">
      <c r="A25" s="3">
        <v>24</v>
      </c>
      <c r="B25" s="4">
        <v>46289</v>
      </c>
      <c r="C25" s="3" t="s">
        <v>41</v>
      </c>
      <c r="D25" s="3" t="s">
        <v>21</v>
      </c>
      <c r="E25" s="3" t="s">
        <v>68</v>
      </c>
      <c r="F25" s="9">
        <v>3</v>
      </c>
      <c r="G25" s="12">
        <v>23000</v>
      </c>
      <c r="H25" s="12">
        <v>30000</v>
      </c>
      <c r="I25" s="12">
        <f t="shared" si="0"/>
        <v>7000</v>
      </c>
      <c r="J25" s="12">
        <f t="shared" si="1"/>
        <v>90000</v>
      </c>
      <c r="K25" s="12">
        <f t="shared" si="2"/>
        <v>69000</v>
      </c>
      <c r="L25" s="12">
        <f t="shared" si="3"/>
        <v>21000</v>
      </c>
    </row>
    <row r="26" spans="1:12" x14ac:dyDescent="0.3">
      <c r="A26" s="3">
        <v>25</v>
      </c>
      <c r="B26" s="4">
        <v>46290</v>
      </c>
      <c r="C26" s="3" t="s">
        <v>42</v>
      </c>
      <c r="D26" s="3" t="s">
        <v>21</v>
      </c>
      <c r="E26" s="3" t="s">
        <v>70</v>
      </c>
      <c r="F26" s="9">
        <v>5</v>
      </c>
      <c r="G26" s="12">
        <v>8000</v>
      </c>
      <c r="H26" s="12">
        <v>10000</v>
      </c>
      <c r="I26" s="12">
        <f t="shared" si="0"/>
        <v>2000</v>
      </c>
      <c r="J26" s="12">
        <f t="shared" si="1"/>
        <v>50000</v>
      </c>
      <c r="K26" s="12">
        <f t="shared" si="2"/>
        <v>40000</v>
      </c>
      <c r="L26" s="12">
        <f t="shared" si="3"/>
        <v>10000</v>
      </c>
    </row>
    <row r="27" spans="1:12" x14ac:dyDescent="0.3">
      <c r="A27" s="3">
        <v>26</v>
      </c>
      <c r="B27" s="4">
        <v>46291</v>
      </c>
      <c r="C27" s="3" t="s">
        <v>55</v>
      </c>
      <c r="D27" s="3" t="s">
        <v>22</v>
      </c>
      <c r="E27" s="3" t="s">
        <v>68</v>
      </c>
      <c r="F27" s="9">
        <v>9</v>
      </c>
      <c r="G27" s="12">
        <v>15000</v>
      </c>
      <c r="H27" s="12">
        <v>20000</v>
      </c>
      <c r="I27" s="12">
        <f t="shared" si="0"/>
        <v>5000</v>
      </c>
      <c r="J27" s="12">
        <f t="shared" si="1"/>
        <v>180000</v>
      </c>
      <c r="K27" s="12">
        <f t="shared" si="2"/>
        <v>135000</v>
      </c>
      <c r="L27" s="12">
        <f t="shared" si="3"/>
        <v>45000</v>
      </c>
    </row>
    <row r="28" spans="1:12" x14ac:dyDescent="0.3">
      <c r="A28" s="3">
        <v>27</v>
      </c>
      <c r="B28" s="4">
        <v>46292</v>
      </c>
      <c r="C28" s="3" t="s">
        <v>26</v>
      </c>
      <c r="D28" s="3" t="s">
        <v>20</v>
      </c>
      <c r="E28" s="3" t="s">
        <v>71</v>
      </c>
      <c r="F28" s="9">
        <v>17</v>
      </c>
      <c r="G28" s="12">
        <v>33000</v>
      </c>
      <c r="H28" s="12">
        <v>40000</v>
      </c>
      <c r="I28" s="12">
        <f t="shared" si="0"/>
        <v>7000</v>
      </c>
      <c r="J28" s="12">
        <f t="shared" si="1"/>
        <v>680000</v>
      </c>
      <c r="K28" s="12">
        <f t="shared" si="2"/>
        <v>561000</v>
      </c>
      <c r="L28" s="12">
        <f t="shared" si="3"/>
        <v>119000</v>
      </c>
    </row>
    <row r="29" spans="1:12" x14ac:dyDescent="0.3">
      <c r="A29" s="3">
        <v>28</v>
      </c>
      <c r="B29" s="4">
        <v>46293</v>
      </c>
      <c r="C29" s="3" t="s">
        <v>27</v>
      </c>
      <c r="D29" s="3" t="s">
        <v>20</v>
      </c>
      <c r="E29" s="3" t="s">
        <v>69</v>
      </c>
      <c r="F29" s="9">
        <v>13</v>
      </c>
      <c r="G29" s="12">
        <v>15000</v>
      </c>
      <c r="H29" s="12">
        <v>20000</v>
      </c>
      <c r="I29" s="12">
        <f t="shared" si="0"/>
        <v>5000</v>
      </c>
      <c r="J29" s="12">
        <f t="shared" si="1"/>
        <v>260000</v>
      </c>
      <c r="K29" s="12">
        <f t="shared" si="2"/>
        <v>195000</v>
      </c>
      <c r="L29" s="12">
        <f t="shared" si="3"/>
        <v>65000</v>
      </c>
    </row>
    <row r="30" spans="1:12" x14ac:dyDescent="0.3">
      <c r="A30" s="3">
        <v>29</v>
      </c>
      <c r="B30" s="4">
        <v>46294</v>
      </c>
      <c r="C30" s="3" t="s">
        <v>51</v>
      </c>
      <c r="D30" s="3" t="s">
        <v>21</v>
      </c>
      <c r="E30" s="3" t="s">
        <v>70</v>
      </c>
      <c r="F30" s="9">
        <v>5</v>
      </c>
      <c r="G30" s="12">
        <v>5000</v>
      </c>
      <c r="H30" s="12">
        <v>7000</v>
      </c>
      <c r="I30" s="12">
        <f t="shared" si="0"/>
        <v>2000</v>
      </c>
      <c r="J30" s="12">
        <f t="shared" si="1"/>
        <v>35000</v>
      </c>
      <c r="K30" s="12">
        <f t="shared" si="2"/>
        <v>25000</v>
      </c>
      <c r="L30" s="12">
        <f t="shared" si="3"/>
        <v>10000</v>
      </c>
    </row>
    <row r="31" spans="1:12" x14ac:dyDescent="0.3">
      <c r="A31" s="3">
        <v>30</v>
      </c>
      <c r="B31" s="4">
        <v>46295</v>
      </c>
      <c r="C31" s="3" t="s">
        <v>56</v>
      </c>
      <c r="D31" s="3" t="s">
        <v>22</v>
      </c>
      <c r="E31" s="3" t="s">
        <v>70</v>
      </c>
      <c r="F31" s="9">
        <v>12</v>
      </c>
      <c r="G31" s="12">
        <v>7700</v>
      </c>
      <c r="H31" s="12">
        <v>8000</v>
      </c>
      <c r="I31" s="12">
        <f t="shared" si="0"/>
        <v>300</v>
      </c>
      <c r="J31" s="12">
        <f t="shared" si="1"/>
        <v>96000</v>
      </c>
      <c r="K31" s="12">
        <f t="shared" si="2"/>
        <v>92400</v>
      </c>
      <c r="L31" s="12">
        <f t="shared" si="3"/>
        <v>3600</v>
      </c>
    </row>
    <row r="32" spans="1:12" x14ac:dyDescent="0.3">
      <c r="A32" s="3">
        <v>31</v>
      </c>
      <c r="B32" s="4">
        <v>46296</v>
      </c>
      <c r="C32" s="3" t="s">
        <v>43</v>
      </c>
      <c r="D32" s="3" t="s">
        <v>21</v>
      </c>
      <c r="E32" s="3" t="s">
        <v>71</v>
      </c>
      <c r="F32" s="9">
        <v>7</v>
      </c>
      <c r="G32" s="12">
        <v>12000</v>
      </c>
      <c r="H32" s="12">
        <v>15000</v>
      </c>
      <c r="I32" s="12">
        <f t="shared" si="0"/>
        <v>3000</v>
      </c>
      <c r="J32" s="12">
        <f t="shared" si="1"/>
        <v>105000</v>
      </c>
      <c r="K32" s="12">
        <f t="shared" si="2"/>
        <v>84000</v>
      </c>
      <c r="L32" s="12">
        <f t="shared" si="3"/>
        <v>21000</v>
      </c>
    </row>
    <row r="33" spans="1:12" x14ac:dyDescent="0.3">
      <c r="A33" s="3">
        <v>32</v>
      </c>
      <c r="B33" s="4">
        <v>46297</v>
      </c>
      <c r="C33" s="3" t="s">
        <v>57</v>
      </c>
      <c r="D33" s="3" t="s">
        <v>22</v>
      </c>
      <c r="E33" s="3" t="s">
        <v>71</v>
      </c>
      <c r="F33" s="9">
        <v>6</v>
      </c>
      <c r="G33" s="12">
        <v>4500</v>
      </c>
      <c r="H33" s="12">
        <v>5000</v>
      </c>
      <c r="I33" s="12">
        <f t="shared" si="0"/>
        <v>500</v>
      </c>
      <c r="J33" s="12">
        <f t="shared" si="1"/>
        <v>30000</v>
      </c>
      <c r="K33" s="12">
        <f t="shared" si="2"/>
        <v>27000</v>
      </c>
      <c r="L33" s="12">
        <f t="shared" si="3"/>
        <v>3000</v>
      </c>
    </row>
    <row r="34" spans="1:12" x14ac:dyDescent="0.3">
      <c r="A34" s="3">
        <v>33</v>
      </c>
      <c r="B34" s="4">
        <v>46298</v>
      </c>
      <c r="C34" s="3" t="s">
        <v>28</v>
      </c>
      <c r="D34" s="3" t="s">
        <v>20</v>
      </c>
      <c r="E34" s="3" t="s">
        <v>69</v>
      </c>
      <c r="F34" s="9">
        <v>7</v>
      </c>
      <c r="G34" s="12">
        <v>38000</v>
      </c>
      <c r="H34" s="12">
        <v>47000</v>
      </c>
      <c r="I34" s="12">
        <f t="shared" si="0"/>
        <v>9000</v>
      </c>
      <c r="J34" s="12">
        <f t="shared" si="1"/>
        <v>329000</v>
      </c>
      <c r="K34" s="12">
        <f t="shared" si="2"/>
        <v>266000</v>
      </c>
      <c r="L34" s="12">
        <f t="shared" si="3"/>
        <v>63000</v>
      </c>
    </row>
    <row r="35" spans="1:12" x14ac:dyDescent="0.3">
      <c r="A35" s="3">
        <v>34</v>
      </c>
      <c r="B35" s="4">
        <v>46299</v>
      </c>
      <c r="C35" s="3" t="s">
        <v>29</v>
      </c>
      <c r="D35" s="3" t="s">
        <v>20</v>
      </c>
      <c r="E35" s="3" t="s">
        <v>68</v>
      </c>
      <c r="F35" s="9">
        <v>17</v>
      </c>
      <c r="G35" s="12">
        <v>24000</v>
      </c>
      <c r="H35" s="12">
        <v>28000</v>
      </c>
      <c r="I35" s="12">
        <f t="shared" si="0"/>
        <v>4000</v>
      </c>
      <c r="J35" s="12">
        <f t="shared" si="1"/>
        <v>476000</v>
      </c>
      <c r="K35" s="12">
        <f t="shared" si="2"/>
        <v>408000</v>
      </c>
      <c r="L35" s="12">
        <f t="shared" si="3"/>
        <v>68000</v>
      </c>
    </row>
    <row r="36" spans="1:12" x14ac:dyDescent="0.3">
      <c r="A36" s="3">
        <v>35</v>
      </c>
      <c r="B36" s="4">
        <v>46300</v>
      </c>
      <c r="C36" s="3" t="s">
        <v>58</v>
      </c>
      <c r="D36" s="3" t="s">
        <v>22</v>
      </c>
      <c r="E36" s="3" t="s">
        <v>70</v>
      </c>
      <c r="F36" s="9">
        <v>15</v>
      </c>
      <c r="G36" s="12">
        <v>1100</v>
      </c>
      <c r="H36" s="12">
        <v>1500</v>
      </c>
      <c r="I36" s="12">
        <f t="shared" si="0"/>
        <v>400</v>
      </c>
      <c r="J36" s="12">
        <f t="shared" si="1"/>
        <v>22500</v>
      </c>
      <c r="K36" s="12">
        <f t="shared" si="2"/>
        <v>16500</v>
      </c>
      <c r="L36" s="12">
        <f t="shared" si="3"/>
        <v>6000</v>
      </c>
    </row>
    <row r="37" spans="1:12" x14ac:dyDescent="0.3">
      <c r="A37" s="3">
        <v>36</v>
      </c>
      <c r="B37" s="4">
        <v>46301</v>
      </c>
      <c r="C37" s="3" t="s">
        <v>59</v>
      </c>
      <c r="D37" s="3" t="s">
        <v>22</v>
      </c>
      <c r="E37" s="3" t="s">
        <v>71</v>
      </c>
      <c r="F37" s="9">
        <v>8</v>
      </c>
      <c r="G37" s="12">
        <v>2800</v>
      </c>
      <c r="H37" s="12">
        <v>3000</v>
      </c>
      <c r="I37" s="12">
        <f t="shared" si="0"/>
        <v>200</v>
      </c>
      <c r="J37" s="12">
        <f t="shared" si="1"/>
        <v>24000</v>
      </c>
      <c r="K37" s="12">
        <f t="shared" si="2"/>
        <v>22400</v>
      </c>
      <c r="L37" s="12">
        <f t="shared" si="3"/>
        <v>1600</v>
      </c>
    </row>
    <row r="38" spans="1:12" x14ac:dyDescent="0.3">
      <c r="A38" s="3">
        <v>37</v>
      </c>
      <c r="B38" s="4">
        <v>46302</v>
      </c>
      <c r="C38" s="3" t="s">
        <v>44</v>
      </c>
      <c r="D38" s="3" t="s">
        <v>21</v>
      </c>
      <c r="E38" s="3" t="s">
        <v>69</v>
      </c>
      <c r="F38" s="9">
        <v>6</v>
      </c>
      <c r="G38" s="12">
        <v>15000</v>
      </c>
      <c r="H38" s="12">
        <v>20000</v>
      </c>
      <c r="I38" s="12">
        <f t="shared" si="0"/>
        <v>5000</v>
      </c>
      <c r="J38" s="12">
        <f t="shared" si="1"/>
        <v>120000</v>
      </c>
      <c r="K38" s="12">
        <f t="shared" si="2"/>
        <v>90000</v>
      </c>
      <c r="L38" s="12">
        <f t="shared" si="3"/>
        <v>30000</v>
      </c>
    </row>
    <row r="39" spans="1:12" x14ac:dyDescent="0.3">
      <c r="A39" s="3">
        <v>38</v>
      </c>
      <c r="B39" s="4">
        <v>46303</v>
      </c>
      <c r="C39" s="3" t="s">
        <v>45</v>
      </c>
      <c r="D39" s="3" t="s">
        <v>21</v>
      </c>
      <c r="E39" s="3" t="s">
        <v>68</v>
      </c>
      <c r="F39" s="9">
        <v>4</v>
      </c>
      <c r="G39" s="12">
        <v>13000</v>
      </c>
      <c r="H39" s="12">
        <v>18000</v>
      </c>
      <c r="I39" s="12">
        <f t="shared" si="0"/>
        <v>5000</v>
      </c>
      <c r="J39" s="12">
        <f t="shared" si="1"/>
        <v>72000</v>
      </c>
      <c r="K39" s="12">
        <f t="shared" si="2"/>
        <v>52000</v>
      </c>
      <c r="L39" s="12">
        <f t="shared" si="3"/>
        <v>20000</v>
      </c>
    </row>
    <row r="40" spans="1:12" x14ac:dyDescent="0.3">
      <c r="A40" s="3">
        <v>39</v>
      </c>
      <c r="B40" s="4">
        <v>46304</v>
      </c>
      <c r="C40" s="3" t="s">
        <v>60</v>
      </c>
      <c r="D40" s="3" t="s">
        <v>22</v>
      </c>
      <c r="E40" s="3" t="s">
        <v>71</v>
      </c>
      <c r="F40" s="9">
        <v>6</v>
      </c>
      <c r="G40" s="12">
        <v>1200</v>
      </c>
      <c r="H40" s="12">
        <v>1500</v>
      </c>
      <c r="I40" s="12">
        <f t="shared" si="0"/>
        <v>300</v>
      </c>
      <c r="J40" s="12">
        <f t="shared" si="1"/>
        <v>9000</v>
      </c>
      <c r="K40" s="12">
        <f t="shared" si="2"/>
        <v>7200</v>
      </c>
      <c r="L40" s="12">
        <f t="shared" si="3"/>
        <v>1800</v>
      </c>
    </row>
    <row r="41" spans="1:12" x14ac:dyDescent="0.3">
      <c r="A41" s="3">
        <v>40</v>
      </c>
      <c r="B41" s="4">
        <v>46305</v>
      </c>
      <c r="C41" s="3" t="s">
        <v>36</v>
      </c>
      <c r="D41" s="3" t="s">
        <v>20</v>
      </c>
      <c r="E41" s="3" t="s">
        <v>70</v>
      </c>
      <c r="F41" s="9">
        <v>8</v>
      </c>
      <c r="G41" s="12">
        <v>1800</v>
      </c>
      <c r="H41" s="12">
        <v>2200</v>
      </c>
      <c r="I41" s="12">
        <f t="shared" si="0"/>
        <v>400</v>
      </c>
      <c r="J41" s="12">
        <f t="shared" si="1"/>
        <v>17600</v>
      </c>
      <c r="K41" s="12">
        <f t="shared" si="2"/>
        <v>14400</v>
      </c>
      <c r="L41" s="12">
        <f t="shared" si="3"/>
        <v>3200</v>
      </c>
    </row>
    <row r="42" spans="1:12" x14ac:dyDescent="0.3">
      <c r="A42" s="3">
        <v>41</v>
      </c>
      <c r="B42" s="4">
        <v>46306</v>
      </c>
      <c r="C42" s="3" t="s">
        <v>37</v>
      </c>
      <c r="D42" s="3" t="s">
        <v>20</v>
      </c>
      <c r="E42" s="3" t="s">
        <v>70</v>
      </c>
      <c r="F42" s="9">
        <v>5</v>
      </c>
      <c r="G42" s="12">
        <v>2500</v>
      </c>
      <c r="H42" s="12">
        <v>3000</v>
      </c>
      <c r="I42" s="12">
        <f t="shared" si="0"/>
        <v>500</v>
      </c>
      <c r="J42" s="12">
        <f t="shared" si="1"/>
        <v>15000</v>
      </c>
      <c r="K42" s="12">
        <f t="shared" si="2"/>
        <v>12500</v>
      </c>
      <c r="L42" s="12">
        <f t="shared" si="3"/>
        <v>2500</v>
      </c>
    </row>
    <row r="43" spans="1:12" x14ac:dyDescent="0.3">
      <c r="A43" s="3">
        <v>42</v>
      </c>
      <c r="B43" s="4">
        <v>46307</v>
      </c>
      <c r="C43" s="3" t="s">
        <v>61</v>
      </c>
      <c r="D43" s="3" t="s">
        <v>22</v>
      </c>
      <c r="E43" s="3" t="s">
        <v>69</v>
      </c>
      <c r="F43" s="9">
        <v>13</v>
      </c>
      <c r="G43" s="12">
        <v>600</v>
      </c>
      <c r="H43" s="12">
        <v>1000</v>
      </c>
      <c r="I43" s="12">
        <f t="shared" si="0"/>
        <v>400</v>
      </c>
      <c r="J43" s="12">
        <f t="shared" si="1"/>
        <v>13000</v>
      </c>
      <c r="K43" s="12">
        <f t="shared" si="2"/>
        <v>7800</v>
      </c>
      <c r="L43" s="12">
        <f t="shared" si="3"/>
        <v>5200</v>
      </c>
    </row>
    <row r="44" spans="1:12" x14ac:dyDescent="0.3">
      <c r="A44" s="3">
        <v>43</v>
      </c>
      <c r="B44" s="4">
        <v>46308</v>
      </c>
      <c r="C44" s="3" t="s">
        <v>76</v>
      </c>
      <c r="D44" s="3" t="s">
        <v>21</v>
      </c>
      <c r="E44" s="3" t="s">
        <v>68</v>
      </c>
      <c r="F44" s="9">
        <v>17</v>
      </c>
      <c r="G44" s="12">
        <v>5000</v>
      </c>
      <c r="H44" s="12">
        <v>7000</v>
      </c>
      <c r="I44" s="12">
        <f t="shared" si="0"/>
        <v>2000</v>
      </c>
      <c r="J44" s="12">
        <f t="shared" si="1"/>
        <v>119000</v>
      </c>
      <c r="K44" s="12">
        <f t="shared" si="2"/>
        <v>85000</v>
      </c>
      <c r="L44" s="12">
        <f t="shared" si="3"/>
        <v>34000</v>
      </c>
    </row>
    <row r="45" spans="1:12" x14ac:dyDescent="0.3">
      <c r="A45" s="3">
        <v>44</v>
      </c>
      <c r="B45" s="4">
        <v>46309</v>
      </c>
      <c r="C45" s="3" t="s">
        <v>46</v>
      </c>
      <c r="D45" s="3" t="s">
        <v>21</v>
      </c>
      <c r="E45" s="3" t="s">
        <v>68</v>
      </c>
      <c r="F45" s="9">
        <v>6</v>
      </c>
      <c r="G45" s="12">
        <v>6000</v>
      </c>
      <c r="H45" s="12">
        <v>9000</v>
      </c>
      <c r="I45" s="12">
        <f t="shared" si="0"/>
        <v>3000</v>
      </c>
      <c r="J45" s="12">
        <f t="shared" si="1"/>
        <v>54000</v>
      </c>
      <c r="K45" s="12">
        <f t="shared" si="2"/>
        <v>36000</v>
      </c>
      <c r="L45" s="12">
        <f t="shared" si="3"/>
        <v>18000</v>
      </c>
    </row>
    <row r="46" spans="1:12" x14ac:dyDescent="0.3">
      <c r="A46" s="3">
        <v>45</v>
      </c>
      <c r="B46" s="4">
        <v>46310</v>
      </c>
      <c r="C46" s="3" t="s">
        <v>62</v>
      </c>
      <c r="D46" s="3" t="s">
        <v>22</v>
      </c>
      <c r="E46" s="3" t="s">
        <v>71</v>
      </c>
      <c r="F46" s="9">
        <v>9</v>
      </c>
      <c r="G46" s="12">
        <v>1500</v>
      </c>
      <c r="H46" s="12">
        <v>2000</v>
      </c>
      <c r="I46" s="12">
        <f t="shared" si="0"/>
        <v>500</v>
      </c>
      <c r="J46" s="12">
        <f t="shared" si="1"/>
        <v>18000</v>
      </c>
      <c r="K46" s="12">
        <f t="shared" si="2"/>
        <v>13500</v>
      </c>
      <c r="L46" s="12">
        <f t="shared" si="3"/>
        <v>4500</v>
      </c>
    </row>
    <row r="47" spans="1:12" x14ac:dyDescent="0.3">
      <c r="A47" s="3">
        <v>46</v>
      </c>
      <c r="B47" s="4">
        <v>46311</v>
      </c>
      <c r="C47" s="3" t="s">
        <v>30</v>
      </c>
      <c r="D47" s="3" t="s">
        <v>20</v>
      </c>
      <c r="E47" s="3" t="s">
        <v>69</v>
      </c>
      <c r="F47" s="9">
        <v>12</v>
      </c>
      <c r="G47" s="12">
        <v>20000</v>
      </c>
      <c r="H47" s="12">
        <v>250000</v>
      </c>
      <c r="I47" s="12">
        <f t="shared" si="0"/>
        <v>230000</v>
      </c>
      <c r="J47" s="12">
        <f t="shared" si="1"/>
        <v>3000000</v>
      </c>
      <c r="K47" s="12">
        <f t="shared" si="2"/>
        <v>240000</v>
      </c>
      <c r="L47" s="12">
        <f t="shared" si="3"/>
        <v>2760000</v>
      </c>
    </row>
    <row r="48" spans="1:12" x14ac:dyDescent="0.3">
      <c r="A48" s="3">
        <v>47</v>
      </c>
      <c r="B48" s="4">
        <v>46312</v>
      </c>
      <c r="C48" s="3" t="s">
        <v>47</v>
      </c>
      <c r="D48" s="3" t="s">
        <v>21</v>
      </c>
      <c r="E48" s="3" t="s">
        <v>69</v>
      </c>
      <c r="F48" s="9">
        <v>7</v>
      </c>
      <c r="G48" s="12">
        <v>7000</v>
      </c>
      <c r="H48" s="12">
        <v>9000</v>
      </c>
      <c r="I48" s="12">
        <f t="shared" si="0"/>
        <v>2000</v>
      </c>
      <c r="J48" s="12">
        <f t="shared" si="1"/>
        <v>63000</v>
      </c>
      <c r="K48" s="12">
        <f t="shared" si="2"/>
        <v>49000</v>
      </c>
      <c r="L48" s="12">
        <f t="shared" si="3"/>
        <v>14000</v>
      </c>
    </row>
    <row r="49" spans="1:12" x14ac:dyDescent="0.3">
      <c r="A49" s="3">
        <v>48</v>
      </c>
      <c r="B49" s="4">
        <v>46313</v>
      </c>
      <c r="C49" s="3" t="s">
        <v>63</v>
      </c>
      <c r="D49" s="3" t="s">
        <v>22</v>
      </c>
      <c r="E49" s="3" t="s">
        <v>68</v>
      </c>
      <c r="F49" s="9">
        <v>6</v>
      </c>
      <c r="G49" s="12">
        <v>6300</v>
      </c>
      <c r="H49" s="12">
        <v>6500</v>
      </c>
      <c r="I49" s="12">
        <f t="shared" si="0"/>
        <v>200</v>
      </c>
      <c r="J49" s="12">
        <f t="shared" si="1"/>
        <v>39000</v>
      </c>
      <c r="K49" s="12">
        <f t="shared" si="2"/>
        <v>37800</v>
      </c>
      <c r="L49" s="12">
        <f t="shared" si="3"/>
        <v>1200</v>
      </c>
    </row>
    <row r="50" spans="1:12" x14ac:dyDescent="0.3">
      <c r="A50" s="3">
        <v>49</v>
      </c>
      <c r="B50" s="4">
        <v>46314</v>
      </c>
      <c r="C50" s="3" t="s">
        <v>31</v>
      </c>
      <c r="D50" s="3" t="s">
        <v>20</v>
      </c>
      <c r="E50" s="3" t="s">
        <v>71</v>
      </c>
      <c r="F50" s="9">
        <v>14</v>
      </c>
      <c r="G50" s="12">
        <v>8000</v>
      </c>
      <c r="H50" s="12">
        <v>9000</v>
      </c>
      <c r="I50" s="12">
        <f t="shared" si="0"/>
        <v>1000</v>
      </c>
      <c r="J50" s="12">
        <f t="shared" si="1"/>
        <v>126000</v>
      </c>
      <c r="K50" s="12">
        <f t="shared" si="2"/>
        <v>112000</v>
      </c>
      <c r="L50" s="12">
        <f t="shared" si="3"/>
        <v>14000</v>
      </c>
    </row>
    <row r="51" spans="1:12" x14ac:dyDescent="0.3">
      <c r="A51" s="3">
        <v>50</v>
      </c>
      <c r="B51" s="4">
        <v>46315</v>
      </c>
      <c r="C51" s="3" t="s">
        <v>64</v>
      </c>
      <c r="D51" s="3" t="s">
        <v>22</v>
      </c>
      <c r="E51" s="3" t="s">
        <v>71</v>
      </c>
      <c r="F51" s="9">
        <v>11</v>
      </c>
      <c r="G51" s="12">
        <v>1500</v>
      </c>
      <c r="H51" s="12">
        <v>1800</v>
      </c>
      <c r="I51" s="12">
        <f t="shared" si="0"/>
        <v>300</v>
      </c>
      <c r="J51" s="12">
        <f t="shared" si="1"/>
        <v>19800</v>
      </c>
      <c r="K51" s="12">
        <f t="shared" si="2"/>
        <v>16500</v>
      </c>
      <c r="L51" s="12">
        <f t="shared" si="3"/>
        <v>3300</v>
      </c>
    </row>
    <row r="52" spans="1:12" x14ac:dyDescent="0.3">
      <c r="A52" s="3">
        <v>51</v>
      </c>
      <c r="B52" s="4">
        <v>46316</v>
      </c>
      <c r="C52" s="3" t="s">
        <v>48</v>
      </c>
      <c r="D52" s="3" t="s">
        <v>21</v>
      </c>
      <c r="E52" s="3" t="s">
        <v>69</v>
      </c>
      <c r="F52" s="9">
        <v>15</v>
      </c>
      <c r="G52" s="12">
        <v>15000</v>
      </c>
      <c r="H52" s="12">
        <v>20000</v>
      </c>
      <c r="I52" s="12">
        <f t="shared" si="0"/>
        <v>5000</v>
      </c>
      <c r="J52" s="12">
        <f t="shared" si="1"/>
        <v>300000</v>
      </c>
      <c r="K52" s="12">
        <f t="shared" si="2"/>
        <v>225000</v>
      </c>
      <c r="L52" s="12">
        <f t="shared" si="3"/>
        <v>75000</v>
      </c>
    </row>
    <row r="53" spans="1:12" x14ac:dyDescent="0.3">
      <c r="A53" s="3">
        <v>52</v>
      </c>
      <c r="B53" s="4">
        <v>46317</v>
      </c>
      <c r="C53" s="3" t="s">
        <v>32</v>
      </c>
      <c r="D53" s="3" t="s">
        <v>20</v>
      </c>
      <c r="E53" s="3" t="s">
        <v>70</v>
      </c>
      <c r="F53" s="9">
        <v>7</v>
      </c>
      <c r="G53" s="12">
        <v>32000</v>
      </c>
      <c r="H53" s="12">
        <v>35000</v>
      </c>
      <c r="I53" s="12">
        <f t="shared" si="0"/>
        <v>3000</v>
      </c>
      <c r="J53" s="12">
        <f t="shared" si="1"/>
        <v>245000</v>
      </c>
      <c r="K53" s="12">
        <f t="shared" si="2"/>
        <v>224000</v>
      </c>
      <c r="L53" s="12">
        <f t="shared" si="3"/>
        <v>21000</v>
      </c>
    </row>
    <row r="54" spans="1:12" x14ac:dyDescent="0.3">
      <c r="A54" s="3">
        <v>53</v>
      </c>
      <c r="B54" s="4">
        <v>46318</v>
      </c>
      <c r="C54" s="3" t="s">
        <v>33</v>
      </c>
      <c r="D54" s="3" t="s">
        <v>20</v>
      </c>
      <c r="E54" s="3" t="s">
        <v>70</v>
      </c>
      <c r="F54" s="9">
        <v>6</v>
      </c>
      <c r="G54" s="12">
        <v>17000</v>
      </c>
      <c r="H54" s="12">
        <v>20000</v>
      </c>
      <c r="I54" s="12">
        <f t="shared" si="0"/>
        <v>3000</v>
      </c>
      <c r="J54" s="12">
        <f t="shared" si="1"/>
        <v>120000</v>
      </c>
      <c r="K54" s="12">
        <f t="shared" si="2"/>
        <v>102000</v>
      </c>
      <c r="L54" s="12">
        <f t="shared" si="3"/>
        <v>18000</v>
      </c>
    </row>
    <row r="55" spans="1:12" x14ac:dyDescent="0.3">
      <c r="A55" s="3">
        <v>54</v>
      </c>
      <c r="B55" s="4">
        <v>46319</v>
      </c>
      <c r="C55" s="3" t="s">
        <v>34</v>
      </c>
      <c r="D55" s="3" t="s">
        <v>20</v>
      </c>
      <c r="E55" s="3" t="s">
        <v>68</v>
      </c>
      <c r="F55" s="9">
        <v>9</v>
      </c>
      <c r="G55" s="12">
        <v>2500</v>
      </c>
      <c r="H55" s="12">
        <v>2800</v>
      </c>
      <c r="I55" s="12">
        <f t="shared" si="0"/>
        <v>300</v>
      </c>
      <c r="J55" s="12">
        <f t="shared" si="1"/>
        <v>25200</v>
      </c>
      <c r="K55" s="12">
        <f t="shared" si="2"/>
        <v>22500</v>
      </c>
      <c r="L55" s="12">
        <f t="shared" si="3"/>
        <v>2700</v>
      </c>
    </row>
    <row r="56" spans="1:12" x14ac:dyDescent="0.3">
      <c r="A56" s="3">
        <v>55</v>
      </c>
      <c r="B56" s="4">
        <v>46320</v>
      </c>
      <c r="C56" s="3" t="s">
        <v>65</v>
      </c>
      <c r="D56" s="3" t="s">
        <v>22</v>
      </c>
      <c r="E56" s="3" t="s">
        <v>69</v>
      </c>
      <c r="F56" s="9">
        <v>10</v>
      </c>
      <c r="G56" s="12">
        <v>2700</v>
      </c>
      <c r="H56" s="12">
        <v>3000</v>
      </c>
      <c r="I56" s="12">
        <f t="shared" si="0"/>
        <v>300</v>
      </c>
      <c r="J56" s="12">
        <f t="shared" si="1"/>
        <v>30000</v>
      </c>
      <c r="K56" s="12">
        <f t="shared" si="2"/>
        <v>27000</v>
      </c>
      <c r="L56" s="12">
        <f t="shared" si="3"/>
        <v>3000</v>
      </c>
    </row>
    <row r="57" spans="1:12" x14ac:dyDescent="0.3">
      <c r="A57" s="3">
        <v>56</v>
      </c>
      <c r="B57" s="4">
        <v>46321</v>
      </c>
      <c r="C57" s="3" t="s">
        <v>66</v>
      </c>
      <c r="D57" s="3" t="s">
        <v>22</v>
      </c>
      <c r="E57" s="3" t="s">
        <v>68</v>
      </c>
      <c r="F57" s="9">
        <v>5</v>
      </c>
      <c r="G57" s="12">
        <v>250</v>
      </c>
      <c r="H57" s="12">
        <v>300</v>
      </c>
      <c r="I57" s="12">
        <f t="shared" si="0"/>
        <v>50</v>
      </c>
      <c r="J57" s="12">
        <f t="shared" si="1"/>
        <v>1500</v>
      </c>
      <c r="K57" s="12">
        <f t="shared" si="2"/>
        <v>1250</v>
      </c>
      <c r="L57" s="12">
        <f t="shared" si="3"/>
        <v>250</v>
      </c>
    </row>
    <row r="58" spans="1:12" x14ac:dyDescent="0.3">
      <c r="A58" s="3">
        <v>57</v>
      </c>
      <c r="B58" s="4">
        <v>46322</v>
      </c>
      <c r="C58" s="3" t="s">
        <v>49</v>
      </c>
      <c r="D58" s="3" t="s">
        <v>21</v>
      </c>
      <c r="E58" s="3" t="s">
        <v>69</v>
      </c>
      <c r="F58" s="9">
        <v>8</v>
      </c>
      <c r="G58" s="12">
        <v>7000</v>
      </c>
      <c r="H58" s="12">
        <v>8000</v>
      </c>
      <c r="I58" s="12">
        <f t="shared" si="0"/>
        <v>1000</v>
      </c>
      <c r="J58" s="12">
        <f t="shared" si="1"/>
        <v>64000</v>
      </c>
      <c r="K58" s="12">
        <f t="shared" si="2"/>
        <v>56000</v>
      </c>
      <c r="L58" s="12">
        <f t="shared" si="3"/>
        <v>8000</v>
      </c>
    </row>
    <row r="59" spans="1:12" x14ac:dyDescent="0.3">
      <c r="A59" s="3">
        <v>58</v>
      </c>
      <c r="B59" s="4">
        <v>46323</v>
      </c>
      <c r="C59" s="3" t="s">
        <v>50</v>
      </c>
      <c r="D59" s="3" t="s">
        <v>21</v>
      </c>
      <c r="E59" s="3" t="s">
        <v>71</v>
      </c>
      <c r="F59" s="9">
        <v>3</v>
      </c>
      <c r="G59" s="12">
        <v>18000</v>
      </c>
      <c r="H59" s="12">
        <v>19500</v>
      </c>
      <c r="I59" s="12">
        <f t="shared" si="0"/>
        <v>1500</v>
      </c>
      <c r="J59" s="12">
        <f t="shared" si="1"/>
        <v>58500</v>
      </c>
      <c r="K59" s="12">
        <f t="shared" si="2"/>
        <v>54000</v>
      </c>
      <c r="L59" s="12">
        <f t="shared" si="3"/>
        <v>4500</v>
      </c>
    </row>
    <row r="60" spans="1:12" x14ac:dyDescent="0.3">
      <c r="A60" s="3">
        <v>59</v>
      </c>
      <c r="B60" s="4">
        <v>46324</v>
      </c>
      <c r="C60" s="3" t="s">
        <v>67</v>
      </c>
      <c r="D60" s="3" t="s">
        <v>22</v>
      </c>
      <c r="E60" s="3" t="s">
        <v>70</v>
      </c>
      <c r="F60" s="9">
        <v>18</v>
      </c>
      <c r="G60" s="12">
        <v>300</v>
      </c>
      <c r="H60" s="12">
        <v>450</v>
      </c>
      <c r="I60" s="12">
        <f t="shared" si="0"/>
        <v>150</v>
      </c>
      <c r="J60" s="12">
        <f t="shared" si="1"/>
        <v>8100</v>
      </c>
      <c r="K60" s="12">
        <f t="shared" si="2"/>
        <v>5400</v>
      </c>
      <c r="L60" s="12">
        <f t="shared" si="3"/>
        <v>2700</v>
      </c>
    </row>
    <row r="61" spans="1:12" x14ac:dyDescent="0.3">
      <c r="A61" s="3">
        <v>60</v>
      </c>
      <c r="B61" s="4">
        <v>46325</v>
      </c>
      <c r="C61" s="3" t="s">
        <v>35</v>
      </c>
      <c r="D61" s="3" t="s">
        <v>20</v>
      </c>
      <c r="E61" s="3" t="s">
        <v>71</v>
      </c>
      <c r="F61" s="9">
        <v>15</v>
      </c>
      <c r="G61" s="12">
        <v>23000</v>
      </c>
      <c r="H61" s="12">
        <v>25000</v>
      </c>
      <c r="I61" s="12">
        <f t="shared" si="0"/>
        <v>2000</v>
      </c>
      <c r="J61" s="12">
        <f t="shared" si="1"/>
        <v>375000</v>
      </c>
      <c r="K61" s="12">
        <f t="shared" si="2"/>
        <v>345000</v>
      </c>
      <c r="L61" s="12">
        <f t="shared" si="3"/>
        <v>30000</v>
      </c>
    </row>
    <row r="63" spans="1:12" x14ac:dyDescent="0.3">
      <c r="J63" s="13"/>
    </row>
    <row r="1048576" spans="8:8" x14ac:dyDescent="0.3">
      <c r="H1048576" s="13">
        <f>SUM(H2:H1048575)</f>
        <v>1083550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4010-F9D4-4BF8-A509-7A356DCD8D20}">
  <dimension ref="A2:K9"/>
  <sheetViews>
    <sheetView tabSelected="1" topLeftCell="A2" zoomScale="96" workbookViewId="0">
      <selection activeCell="K19" sqref="K19"/>
    </sheetView>
  </sheetViews>
  <sheetFormatPr defaultRowHeight="14.4" x14ac:dyDescent="0.3"/>
  <cols>
    <col min="5" max="5" width="13.6640625" customWidth="1"/>
    <col min="8" max="8" width="13.88671875" customWidth="1"/>
    <col min="11" max="11" width="13.77734375" customWidth="1"/>
  </cols>
  <sheetData>
    <row r="2" spans="1:11" x14ac:dyDescent="0.3">
      <c r="A2" s="1"/>
      <c r="B2" s="1"/>
    </row>
    <row r="4" spans="1:11" x14ac:dyDescent="0.3">
      <c r="D4" s="14" t="s">
        <v>77</v>
      </c>
      <c r="E4" s="14"/>
      <c r="G4" s="16" t="s">
        <v>78</v>
      </c>
      <c r="H4" s="16"/>
      <c r="J4" s="17" t="s">
        <v>79</v>
      </c>
      <c r="K4" s="17"/>
    </row>
    <row r="5" spans="1:11" x14ac:dyDescent="0.3">
      <c r="D5" s="19">
        <f>SUM('Cleaned Data'!J2:J61)</f>
        <v>10432900</v>
      </c>
      <c r="E5" s="19"/>
      <c r="G5" s="18">
        <f>SUM('Cleaned Data'!K2:K61)</f>
        <v>6336450</v>
      </c>
      <c r="H5" s="18"/>
      <c r="J5" s="18">
        <f>SUM('Cleaned Data'!L2:L61)</f>
        <v>4096450</v>
      </c>
      <c r="K5" s="18"/>
    </row>
    <row r="8" spans="1:11" x14ac:dyDescent="0.3">
      <c r="D8" s="20" t="s">
        <v>80</v>
      </c>
      <c r="E8" s="20"/>
      <c r="G8" s="21" t="s">
        <v>81</v>
      </c>
      <c r="H8" s="21"/>
      <c r="J8" s="23" t="s">
        <v>82</v>
      </c>
      <c r="K8" s="23"/>
    </row>
    <row r="9" spans="1:11" x14ac:dyDescent="0.3">
      <c r="D9" s="15">
        <f>COUNT('Cleaned Data'!A2:A61)</f>
        <v>60</v>
      </c>
      <c r="E9" s="15"/>
      <c r="G9" s="24">
        <f>SUM('Cleaned Data'!F2:F61)</f>
        <v>561</v>
      </c>
      <c r="H9" s="24"/>
      <c r="J9" s="22">
        <f>J5/D5</f>
        <v>0.39264729845009538</v>
      </c>
      <c r="K9" s="22"/>
    </row>
  </sheetData>
  <mergeCells count="12">
    <mergeCell ref="J4:K4"/>
    <mergeCell ref="J5:K5"/>
    <mergeCell ref="D8:E8"/>
    <mergeCell ref="D9:E9"/>
    <mergeCell ref="G8:H8"/>
    <mergeCell ref="G9:H9"/>
    <mergeCell ref="J8:K8"/>
    <mergeCell ref="J9:K9"/>
    <mergeCell ref="D4:E4"/>
    <mergeCell ref="D5:E5"/>
    <mergeCell ref="G4:H4"/>
    <mergeCell ref="G5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E4D7-A90C-41E7-BDD5-0495FDCC782C}">
  <dimension ref="A1:K7"/>
  <sheetViews>
    <sheetView workbookViewId="0">
      <selection activeCell="J3" sqref="J3"/>
    </sheetView>
  </sheetViews>
  <sheetFormatPr defaultRowHeight="14.4" x14ac:dyDescent="0.3"/>
  <cols>
    <col min="1" max="1" width="12.44140625" bestFit="1" customWidth="1"/>
    <col min="2" max="2" width="20.44140625" bestFit="1" customWidth="1"/>
    <col min="3" max="3" width="18.6640625" bestFit="1" customWidth="1"/>
    <col min="5" max="5" width="12.44140625" bestFit="1" customWidth="1"/>
    <col min="6" max="6" width="20.44140625" bestFit="1" customWidth="1"/>
    <col min="9" max="9" width="12.44140625" bestFit="1" customWidth="1"/>
    <col min="10" max="10" width="20.44140625" bestFit="1" customWidth="1"/>
    <col min="11" max="11" width="18.6640625" bestFit="1" customWidth="1"/>
  </cols>
  <sheetData>
    <row r="1" spans="1:11" x14ac:dyDescent="0.3">
      <c r="A1" s="25" t="s">
        <v>83</v>
      </c>
      <c r="B1" t="s">
        <v>85</v>
      </c>
      <c r="C1" t="s">
        <v>86</v>
      </c>
      <c r="E1" s="25" t="s">
        <v>83</v>
      </c>
      <c r="F1" t="s">
        <v>85</v>
      </c>
      <c r="I1" s="25" t="s">
        <v>83</v>
      </c>
      <c r="J1" t="s">
        <v>85</v>
      </c>
      <c r="K1" t="s">
        <v>86</v>
      </c>
    </row>
    <row r="2" spans="1:11" x14ac:dyDescent="0.3">
      <c r="A2" s="26" t="s">
        <v>22</v>
      </c>
      <c r="B2" s="27">
        <v>630700</v>
      </c>
      <c r="C2" s="27">
        <v>116250</v>
      </c>
      <c r="E2" s="26" t="s">
        <v>68</v>
      </c>
      <c r="F2" s="27">
        <v>1608900</v>
      </c>
      <c r="I2" s="26" t="s">
        <v>87</v>
      </c>
      <c r="J2" s="27">
        <v>4533700</v>
      </c>
      <c r="K2" s="27">
        <v>857000</v>
      </c>
    </row>
    <row r="3" spans="1:11" x14ac:dyDescent="0.3">
      <c r="A3" s="26" t="s">
        <v>20</v>
      </c>
      <c r="B3" s="27">
        <v>7844200</v>
      </c>
      <c r="C3" s="27">
        <v>3559900</v>
      </c>
      <c r="E3" s="26" t="s">
        <v>70</v>
      </c>
      <c r="F3" s="27">
        <v>1566400</v>
      </c>
      <c r="I3" s="26" t="s">
        <v>88</v>
      </c>
      <c r="J3" s="27">
        <v>5899200</v>
      </c>
      <c r="K3" s="27">
        <v>3239450</v>
      </c>
    </row>
    <row r="4" spans="1:11" x14ac:dyDescent="0.3">
      <c r="A4" s="26" t="s">
        <v>21</v>
      </c>
      <c r="B4" s="27">
        <v>1958000</v>
      </c>
      <c r="C4" s="27">
        <v>420300</v>
      </c>
      <c r="E4" s="26" t="s">
        <v>72</v>
      </c>
      <c r="F4" s="27">
        <v>490000</v>
      </c>
      <c r="I4" s="26" t="s">
        <v>84</v>
      </c>
      <c r="J4" s="27">
        <v>10432900</v>
      </c>
      <c r="K4" s="27">
        <v>4096450</v>
      </c>
    </row>
    <row r="5" spans="1:11" x14ac:dyDescent="0.3">
      <c r="A5" s="26" t="s">
        <v>84</v>
      </c>
      <c r="B5" s="27">
        <v>10432900</v>
      </c>
      <c r="C5" s="27">
        <v>4096450</v>
      </c>
      <c r="E5" s="26" t="s">
        <v>71</v>
      </c>
      <c r="F5" s="27">
        <v>1968000</v>
      </c>
    </row>
    <row r="6" spans="1:11" x14ac:dyDescent="0.3">
      <c r="E6" s="26" t="s">
        <v>69</v>
      </c>
      <c r="F6" s="27">
        <v>4799600</v>
      </c>
    </row>
    <row r="7" spans="1:11" x14ac:dyDescent="0.3">
      <c r="E7" s="26" t="s">
        <v>84</v>
      </c>
      <c r="F7" s="27">
        <v>10432900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1B1C531-DB64-4998-8D83-86938910C289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C617E614-41FD-4BF1-B0F0-A6F4D527E033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Dashboard</vt:lpstr>
      <vt:lpstr> Analysis and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Swarup Sahoo</dc:creator>
  <cp:lastModifiedBy>Satya Swarup Sahoo</cp:lastModifiedBy>
  <dcterms:created xsi:type="dcterms:W3CDTF">2026-09-07T16:46:57Z</dcterms:created>
  <dcterms:modified xsi:type="dcterms:W3CDTF">2026-09-23T20:06:43Z</dcterms:modified>
</cp:coreProperties>
</file>